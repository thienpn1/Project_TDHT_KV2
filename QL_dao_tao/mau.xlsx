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D:\TimeSheet\"/>
    </mc:Choice>
  </mc:AlternateContent>
  <bookViews>
    <workbookView xWindow="0" yWindow="60" windowWidth="16815" windowHeight="7695"/>
  </bookViews>
  <sheets>
    <sheet name="Sheet1" sheetId="1" r:id="rId1"/>
  </sheets>
  <definedNames>
    <definedName name="_xlnm._FilterDatabase" localSheetId="0" hidden="1">Sheet1!$B$1:$R$182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1" i="1" l="1"/>
  <c r="Y23" i="1" l="1"/>
  <c r="Y12" i="1"/>
  <c r="Z5" i="1"/>
  <c r="Z6" i="1"/>
  <c r="Z7" i="1"/>
  <c r="Z8" i="1"/>
  <c r="Z9" i="1"/>
  <c r="Z10" i="1"/>
  <c r="Z11" i="1"/>
  <c r="Z12" i="1"/>
  <c r="Z13" i="1"/>
  <c r="Z15" i="1"/>
  <c r="Z17" i="1"/>
  <c r="Z18" i="1"/>
  <c r="Z19" i="1"/>
  <c r="Z20" i="1"/>
  <c r="Z21" i="1"/>
  <c r="Z23" i="1"/>
  <c r="Z24" i="1"/>
  <c r="Z25" i="1"/>
  <c r="Z26" i="1"/>
  <c r="Z27" i="1"/>
  <c r="Z28" i="1"/>
  <c r="Z30" i="1"/>
  <c r="Z31" i="1"/>
  <c r="Z32" i="1"/>
  <c r="Z33" i="1"/>
  <c r="Z34" i="1"/>
  <c r="Z36" i="1"/>
  <c r="Z37" i="1"/>
  <c r="Z38" i="1"/>
  <c r="Z39" i="1"/>
  <c r="Z40" i="1"/>
  <c r="Z41" i="1"/>
  <c r="Z42" i="1"/>
  <c r="Z44" i="1"/>
  <c r="Z47" i="1"/>
  <c r="Z48" i="1"/>
  <c r="Z49" i="1"/>
  <c r="Z51" i="1"/>
  <c r="Z52" i="1"/>
  <c r="Z53" i="1"/>
  <c r="Z54" i="1"/>
  <c r="Z55" i="1"/>
  <c r="Z56" i="1"/>
  <c r="Z57" i="1"/>
  <c r="Z59" i="1"/>
  <c r="Z60" i="1"/>
  <c r="Z61" i="1"/>
  <c r="Z62" i="1"/>
  <c r="Z63" i="1"/>
  <c r="Z64" i="1"/>
  <c r="Z67" i="1"/>
  <c r="Z68" i="1"/>
  <c r="Z69" i="1"/>
  <c r="Z70" i="1"/>
  <c r="Z73" i="1"/>
  <c r="Z74" i="1"/>
  <c r="Z75" i="1"/>
  <c r="Z76" i="1"/>
  <c r="Z77" i="1"/>
  <c r="Z78" i="1"/>
  <c r="Z79" i="1"/>
  <c r="Z80" i="1"/>
  <c r="Z81" i="1"/>
  <c r="Z82" i="1"/>
  <c r="Z83" i="1"/>
  <c r="Z84" i="1"/>
  <c r="Z86" i="1"/>
  <c r="Z87" i="1"/>
  <c r="Z88" i="1"/>
  <c r="Z89" i="1"/>
  <c r="Z92" i="1"/>
  <c r="Z93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6" i="1"/>
  <c r="Z91" i="1"/>
  <c r="Z22" i="1"/>
  <c r="Z2" i="1"/>
  <c r="Z85" i="1"/>
  <c r="Z29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" i="1"/>
  <c r="Z1" i="1" l="1"/>
  <c r="Z65" i="1"/>
  <c r="Z94" i="1"/>
  <c r="Z90" i="1"/>
  <c r="Z43" i="1"/>
  <c r="Z35" i="1"/>
  <c r="Z3" i="1"/>
  <c r="Z66" i="1"/>
  <c r="Z58" i="1"/>
  <c r="Z50" i="1"/>
  <c r="Z45" i="1"/>
  <c r="Z71" i="1"/>
  <c r="Z72" i="1"/>
  <c r="Z46" i="1"/>
  <c r="Z14" i="1"/>
  <c r="Z4" i="1"/>
  <c r="V2" i="1" l="1"/>
  <c r="V3" i="1"/>
  <c r="V4" i="1"/>
  <c r="V5" i="1"/>
  <c r="V6" i="1"/>
  <c r="V7" i="1"/>
  <c r="V8" i="1"/>
  <c r="V9" i="1"/>
  <c r="V10" i="1"/>
  <c r="V11" i="1"/>
  <c r="V12" i="1"/>
  <c r="V14" i="1"/>
  <c r="V15" i="1"/>
  <c r="V16" i="1"/>
  <c r="V18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8" i="1"/>
  <c r="V39" i="1"/>
  <c r="V40" i="1"/>
  <c r="V41" i="1"/>
  <c r="V42" i="1"/>
  <c r="V43" i="1"/>
  <c r="V45" i="1"/>
  <c r="V46" i="1"/>
  <c r="V47" i="1"/>
  <c r="V48" i="1"/>
  <c r="V49" i="1"/>
  <c r="V50" i="1"/>
  <c r="V51" i="1"/>
  <c r="V53" i="1"/>
  <c r="V54" i="1"/>
  <c r="V55" i="1"/>
  <c r="V56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" i="1"/>
  <c r="R115" i="1" l="1"/>
  <c r="R111" i="1"/>
  <c r="R110" i="1"/>
  <c r="R109" i="1"/>
  <c r="R67" i="1"/>
  <c r="R60" i="1"/>
  <c r="R58" i="1"/>
  <c r="R57" i="1"/>
  <c r="V57" i="1" s="1"/>
  <c r="R54" i="1"/>
  <c r="R53" i="1"/>
  <c r="R52" i="1"/>
  <c r="V52" i="1" s="1"/>
  <c r="R51" i="1"/>
  <c r="R44" i="1"/>
  <c r="V44" i="1" s="1"/>
  <c r="R37" i="1"/>
  <c r="V37" i="1" s="1"/>
  <c r="R36" i="1"/>
  <c r="V36" i="1" s="1"/>
  <c r="R35" i="1"/>
  <c r="R33" i="1"/>
  <c r="R31" i="1"/>
  <c r="R29" i="1"/>
  <c r="R19" i="1"/>
  <c r="V19" i="1" s="1"/>
  <c r="R18" i="1"/>
  <c r="R17" i="1"/>
  <c r="V17" i="1" s="1"/>
  <c r="R16" i="1"/>
  <c r="R14" i="1"/>
  <c r="R13" i="1"/>
  <c r="V13" i="1" s="1"/>
  <c r="R12" i="1"/>
  <c r="Y5" i="1"/>
  <c r="Y6" i="1"/>
  <c r="Y8" i="1"/>
  <c r="Y9" i="1"/>
  <c r="Y10" i="1"/>
  <c r="Y11" i="1"/>
  <c r="Y13" i="1"/>
  <c r="Y15" i="1"/>
  <c r="Y17" i="1"/>
  <c r="Y18" i="1"/>
  <c r="Y19" i="1"/>
  <c r="Y20" i="1"/>
  <c r="Y21" i="1"/>
  <c r="Y24" i="1"/>
  <c r="Y26" i="1"/>
  <c r="Y27" i="1"/>
  <c r="Y28" i="1"/>
  <c r="Y30" i="1"/>
  <c r="Y31" i="1"/>
  <c r="Y33" i="1"/>
  <c r="Y34" i="1"/>
  <c r="Y37" i="1"/>
  <c r="Y38" i="1"/>
  <c r="Y40" i="1"/>
  <c r="Y41" i="1"/>
  <c r="Y42" i="1"/>
  <c r="Y44" i="1"/>
  <c r="Y47" i="1"/>
  <c r="Y48" i="1"/>
  <c r="Y49" i="1"/>
  <c r="Y51" i="1"/>
  <c r="Y52" i="1"/>
  <c r="Y53" i="1"/>
  <c r="Y54" i="1"/>
  <c r="Y55" i="1"/>
  <c r="Y56" i="1"/>
  <c r="Y57" i="1"/>
  <c r="Y59" i="1"/>
  <c r="Y60" i="1"/>
  <c r="Y61" i="1"/>
  <c r="Y62" i="1"/>
  <c r="Y63" i="1"/>
  <c r="Y64" i="1"/>
  <c r="Y67" i="1"/>
  <c r="Y68" i="1"/>
  <c r="Y69" i="1"/>
  <c r="Y70" i="1"/>
  <c r="Y73" i="1"/>
  <c r="Y74" i="1"/>
  <c r="Y77" i="1"/>
  <c r="Y78" i="1"/>
  <c r="Y79" i="1"/>
  <c r="Y81" i="1"/>
  <c r="Y82" i="1"/>
  <c r="Y83" i="1"/>
  <c r="Y84" i="1"/>
  <c r="Y86" i="1"/>
  <c r="Y87" i="1"/>
  <c r="Y88" i="1"/>
  <c r="Y89" i="1"/>
  <c r="Y92" i="1"/>
  <c r="Y93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BD97" i="1"/>
  <c r="BF97" i="1" s="1"/>
  <c r="BD98" i="1"/>
  <c r="BF98" i="1" s="1"/>
  <c r="BD99" i="1"/>
  <c r="BF99" i="1" s="1"/>
  <c r="BD100" i="1"/>
  <c r="BF100" i="1" s="1"/>
  <c r="BD101" i="1"/>
  <c r="BF101" i="1" s="1"/>
  <c r="BD102" i="1"/>
  <c r="BF102" i="1" s="1"/>
  <c r="BD103" i="1"/>
  <c r="BF103" i="1" s="1"/>
  <c r="BD104" i="1"/>
  <c r="BF104" i="1" s="1"/>
  <c r="BD105" i="1"/>
  <c r="BF105" i="1" s="1"/>
  <c r="BD106" i="1"/>
  <c r="BF106" i="1" s="1"/>
  <c r="BD107" i="1"/>
  <c r="BF107" i="1" s="1"/>
  <c r="BD108" i="1"/>
  <c r="BF108" i="1" s="1"/>
  <c r="BD109" i="1"/>
  <c r="BF109" i="1" s="1"/>
  <c r="BD110" i="1"/>
  <c r="BF110" i="1" s="1"/>
  <c r="BD111" i="1"/>
  <c r="BF111" i="1" s="1"/>
  <c r="BD112" i="1"/>
  <c r="BF112" i="1" s="1"/>
  <c r="BD113" i="1"/>
  <c r="BF113" i="1" s="1"/>
  <c r="BD114" i="1"/>
  <c r="BF114" i="1" s="1"/>
  <c r="BD115" i="1"/>
  <c r="BF115" i="1" s="1"/>
  <c r="BD116" i="1"/>
  <c r="BF116" i="1" s="1"/>
  <c r="BD117" i="1"/>
  <c r="BF117" i="1" s="1"/>
  <c r="BD118" i="1"/>
  <c r="BF118" i="1" s="1"/>
  <c r="BD119" i="1"/>
  <c r="BF119" i="1" s="1"/>
  <c r="BD120" i="1"/>
  <c r="BF120" i="1" s="1"/>
  <c r="BD121" i="1"/>
  <c r="BF121" i="1" s="1"/>
  <c r="BD122" i="1"/>
  <c r="BF122" i="1" s="1"/>
  <c r="BD123" i="1"/>
  <c r="BF123" i="1" s="1"/>
  <c r="BD124" i="1"/>
  <c r="BF124" i="1" s="1"/>
  <c r="BD125" i="1"/>
  <c r="BF125" i="1" s="1"/>
  <c r="BD126" i="1"/>
  <c r="BF126" i="1" s="1"/>
  <c r="BD127" i="1"/>
  <c r="BF127" i="1" s="1"/>
  <c r="BD128" i="1"/>
  <c r="BF128" i="1" s="1"/>
  <c r="BD129" i="1"/>
  <c r="BF129" i="1" s="1"/>
  <c r="BD130" i="1"/>
  <c r="BF130" i="1" s="1"/>
  <c r="BD131" i="1"/>
  <c r="BF131" i="1" s="1"/>
  <c r="BD132" i="1"/>
  <c r="BF132" i="1" s="1"/>
  <c r="BD133" i="1"/>
  <c r="BF133" i="1" s="1"/>
  <c r="BD134" i="1"/>
  <c r="BF134" i="1" s="1"/>
  <c r="BD135" i="1"/>
  <c r="BF135" i="1" s="1"/>
  <c r="BD136" i="1"/>
  <c r="BF136" i="1" s="1"/>
  <c r="BD137" i="1"/>
  <c r="BF137" i="1" s="1"/>
  <c r="BD138" i="1"/>
  <c r="BF138" i="1" s="1"/>
  <c r="BD139" i="1"/>
  <c r="BF139" i="1" s="1"/>
  <c r="BD140" i="1"/>
  <c r="BF140" i="1" s="1"/>
  <c r="BD141" i="1"/>
  <c r="BF141" i="1" s="1"/>
  <c r="BD142" i="1"/>
  <c r="BF142" i="1" s="1"/>
  <c r="BD143" i="1"/>
  <c r="BF143" i="1" s="1"/>
  <c r="BD144" i="1"/>
  <c r="BF144" i="1" s="1"/>
  <c r="BD145" i="1"/>
  <c r="BF145" i="1" s="1"/>
  <c r="BD146" i="1"/>
  <c r="BF146" i="1" s="1"/>
  <c r="BD147" i="1"/>
  <c r="BF147" i="1" s="1"/>
  <c r="BD148" i="1"/>
  <c r="BF148" i="1" s="1"/>
  <c r="BD149" i="1"/>
  <c r="BF149" i="1" s="1"/>
  <c r="BD150" i="1"/>
  <c r="BF150" i="1" s="1"/>
  <c r="BD151" i="1"/>
  <c r="BF151" i="1" s="1"/>
  <c r="BD152" i="1"/>
  <c r="BF152" i="1" s="1"/>
  <c r="BD153" i="1"/>
  <c r="BF153" i="1" s="1"/>
  <c r="BD154" i="1"/>
  <c r="BF154" i="1" s="1"/>
  <c r="BD155" i="1"/>
  <c r="BF155" i="1" s="1"/>
  <c r="BD156" i="1"/>
  <c r="BF156" i="1" s="1"/>
  <c r="BD157" i="1"/>
  <c r="BF157" i="1" s="1"/>
  <c r="BD158" i="1"/>
  <c r="BF158" i="1" s="1"/>
  <c r="BD159" i="1"/>
  <c r="BF159" i="1" s="1"/>
  <c r="BD160" i="1"/>
  <c r="BF160" i="1" s="1"/>
  <c r="BD161" i="1"/>
  <c r="BF161" i="1" s="1"/>
  <c r="BD162" i="1"/>
  <c r="BF162" i="1" s="1"/>
  <c r="BD163" i="1"/>
  <c r="BF163" i="1" s="1"/>
  <c r="BD164" i="1"/>
  <c r="BF164" i="1" s="1"/>
  <c r="BD165" i="1"/>
  <c r="BF165" i="1" s="1"/>
  <c r="BD166" i="1"/>
  <c r="BF166" i="1" s="1"/>
  <c r="BD167" i="1"/>
  <c r="BF167" i="1" s="1"/>
  <c r="BD168" i="1"/>
  <c r="BF168" i="1" s="1"/>
  <c r="BD169" i="1"/>
  <c r="BF169" i="1" s="1"/>
  <c r="BD170" i="1"/>
  <c r="BF170" i="1" s="1"/>
  <c r="BD171" i="1"/>
  <c r="BF171" i="1" s="1"/>
  <c r="BD172" i="1"/>
  <c r="BF172" i="1" s="1"/>
  <c r="BD173" i="1"/>
  <c r="BF173" i="1" s="1"/>
  <c r="BD174" i="1"/>
  <c r="BF174" i="1" s="1"/>
  <c r="BD175" i="1"/>
  <c r="BF175" i="1" s="1"/>
  <c r="BD176" i="1"/>
  <c r="BF176" i="1" s="1"/>
  <c r="BD177" i="1"/>
  <c r="BF177" i="1" s="1"/>
  <c r="BD178" i="1"/>
  <c r="BF178" i="1" s="1"/>
  <c r="BD179" i="1"/>
  <c r="BF179" i="1" s="1"/>
  <c r="BD180" i="1"/>
  <c r="BF180" i="1" s="1"/>
  <c r="BD181" i="1"/>
  <c r="BF181" i="1" s="1"/>
  <c r="BD182" i="1"/>
  <c r="BF182" i="1" s="1"/>
  <c r="BA97" i="1"/>
  <c r="BA98" i="1"/>
  <c r="BA99" i="1"/>
  <c r="BA100" i="1"/>
  <c r="BA101" i="1"/>
  <c r="BA102" i="1"/>
  <c r="BA103" i="1"/>
  <c r="BA104" i="1"/>
  <c r="BA105" i="1"/>
  <c r="BA106" i="1"/>
  <c r="BA107" i="1"/>
  <c r="BA108" i="1"/>
  <c r="BA109" i="1"/>
  <c r="BA110" i="1"/>
  <c r="BA111" i="1"/>
  <c r="BA112" i="1"/>
  <c r="BA113" i="1"/>
  <c r="BA114" i="1"/>
  <c r="BA115" i="1"/>
  <c r="BA116" i="1"/>
  <c r="BA117" i="1"/>
  <c r="BA118" i="1"/>
  <c r="BA119" i="1"/>
  <c r="BA120" i="1"/>
  <c r="BA121" i="1"/>
  <c r="BA122" i="1"/>
  <c r="BA123" i="1"/>
  <c r="BA124" i="1"/>
  <c r="BA125" i="1"/>
  <c r="BA126" i="1"/>
  <c r="BA127" i="1"/>
  <c r="BA128" i="1"/>
  <c r="BA129" i="1"/>
  <c r="BA130" i="1"/>
  <c r="BA131" i="1"/>
  <c r="BA132" i="1"/>
  <c r="BA133" i="1"/>
  <c r="BA134" i="1"/>
  <c r="BA135" i="1"/>
  <c r="BA136" i="1"/>
  <c r="BA137" i="1"/>
  <c r="BA138" i="1"/>
  <c r="BA139" i="1"/>
  <c r="BA140" i="1"/>
  <c r="BA141" i="1"/>
  <c r="BA142" i="1"/>
  <c r="BA143" i="1"/>
  <c r="BA144" i="1"/>
  <c r="BA145" i="1"/>
  <c r="BA146" i="1"/>
  <c r="BA147" i="1"/>
  <c r="BA148" i="1"/>
  <c r="BA149" i="1"/>
  <c r="BA150" i="1"/>
  <c r="BA151" i="1"/>
  <c r="BA152" i="1"/>
  <c r="BA153" i="1"/>
  <c r="BA154" i="1"/>
  <c r="BA155" i="1"/>
  <c r="BA156" i="1"/>
  <c r="BA157" i="1"/>
  <c r="BA158" i="1"/>
  <c r="BA159" i="1"/>
  <c r="BA160" i="1"/>
  <c r="BA161" i="1"/>
  <c r="BA162" i="1"/>
  <c r="BA163" i="1"/>
  <c r="BA164" i="1"/>
  <c r="BA165" i="1"/>
  <c r="BA166" i="1"/>
  <c r="BA167" i="1"/>
  <c r="BA168" i="1"/>
  <c r="BA169" i="1"/>
  <c r="BA170" i="1"/>
  <c r="BA171" i="1"/>
  <c r="BA172" i="1"/>
  <c r="BA173" i="1"/>
  <c r="BA174" i="1"/>
  <c r="BA175" i="1"/>
  <c r="BA176" i="1"/>
  <c r="BA177" i="1"/>
  <c r="BA178" i="1"/>
  <c r="BA179" i="1"/>
  <c r="BA180" i="1"/>
  <c r="BA181" i="1"/>
  <c r="BA182" i="1"/>
  <c r="L97" i="1"/>
  <c r="M97" i="1"/>
  <c r="N97" i="1"/>
  <c r="AD97" i="1" s="1"/>
  <c r="O97" i="1"/>
  <c r="L98" i="1"/>
  <c r="M98" i="1"/>
  <c r="N98" i="1"/>
  <c r="AD98" i="1" s="1"/>
  <c r="O98" i="1"/>
  <c r="L99" i="1"/>
  <c r="M99" i="1"/>
  <c r="N99" i="1"/>
  <c r="AD99" i="1" s="1"/>
  <c r="O99" i="1"/>
  <c r="L100" i="1"/>
  <c r="M100" i="1"/>
  <c r="N100" i="1"/>
  <c r="AD100" i="1" s="1"/>
  <c r="O100" i="1"/>
  <c r="L101" i="1"/>
  <c r="M101" i="1"/>
  <c r="N101" i="1"/>
  <c r="AD101" i="1" s="1"/>
  <c r="O101" i="1"/>
  <c r="L102" i="1"/>
  <c r="M102" i="1"/>
  <c r="N102" i="1"/>
  <c r="AD102" i="1" s="1"/>
  <c r="O102" i="1"/>
  <c r="L103" i="1"/>
  <c r="M103" i="1"/>
  <c r="N103" i="1"/>
  <c r="AD103" i="1" s="1"/>
  <c r="O103" i="1"/>
  <c r="L104" i="1"/>
  <c r="M104" i="1"/>
  <c r="N104" i="1"/>
  <c r="AD104" i="1" s="1"/>
  <c r="O104" i="1"/>
  <c r="L105" i="1"/>
  <c r="M105" i="1"/>
  <c r="N105" i="1"/>
  <c r="AD105" i="1" s="1"/>
  <c r="O105" i="1"/>
  <c r="L106" i="1"/>
  <c r="M106" i="1"/>
  <c r="N106" i="1"/>
  <c r="AD106" i="1" s="1"/>
  <c r="O106" i="1"/>
  <c r="L107" i="1"/>
  <c r="M107" i="1"/>
  <c r="N107" i="1"/>
  <c r="AD107" i="1" s="1"/>
  <c r="O107" i="1"/>
  <c r="L108" i="1"/>
  <c r="M108" i="1"/>
  <c r="N108" i="1"/>
  <c r="AD108" i="1" s="1"/>
  <c r="O108" i="1"/>
  <c r="L109" i="1"/>
  <c r="M109" i="1"/>
  <c r="N109" i="1"/>
  <c r="AD109" i="1" s="1"/>
  <c r="O109" i="1"/>
  <c r="L110" i="1"/>
  <c r="M110" i="1"/>
  <c r="N110" i="1"/>
  <c r="AD110" i="1" s="1"/>
  <c r="O110" i="1"/>
  <c r="L111" i="1"/>
  <c r="M111" i="1"/>
  <c r="N111" i="1"/>
  <c r="AD111" i="1" s="1"/>
  <c r="O111" i="1"/>
  <c r="L112" i="1"/>
  <c r="M112" i="1"/>
  <c r="N112" i="1"/>
  <c r="AD112" i="1" s="1"/>
  <c r="O112" i="1"/>
  <c r="L113" i="1"/>
  <c r="M113" i="1"/>
  <c r="N113" i="1"/>
  <c r="AD113" i="1" s="1"/>
  <c r="O113" i="1"/>
  <c r="L114" i="1"/>
  <c r="M114" i="1"/>
  <c r="N114" i="1"/>
  <c r="AD114" i="1" s="1"/>
  <c r="O114" i="1"/>
  <c r="L115" i="1"/>
  <c r="M115" i="1"/>
  <c r="N115" i="1"/>
  <c r="AD115" i="1" s="1"/>
  <c r="O115" i="1"/>
  <c r="L116" i="1"/>
  <c r="M116" i="1"/>
  <c r="N116" i="1"/>
  <c r="AD116" i="1" s="1"/>
  <c r="O116" i="1"/>
  <c r="L117" i="1"/>
  <c r="M117" i="1"/>
  <c r="N117" i="1"/>
  <c r="AD117" i="1" s="1"/>
  <c r="O117" i="1"/>
  <c r="L118" i="1"/>
  <c r="M118" i="1"/>
  <c r="N118" i="1"/>
  <c r="AD118" i="1" s="1"/>
  <c r="O118" i="1"/>
  <c r="L119" i="1"/>
  <c r="M119" i="1"/>
  <c r="N119" i="1"/>
  <c r="AD119" i="1" s="1"/>
  <c r="O119" i="1"/>
  <c r="L120" i="1"/>
  <c r="M120" i="1"/>
  <c r="N120" i="1"/>
  <c r="AD120" i="1" s="1"/>
  <c r="O120" i="1"/>
  <c r="L121" i="1"/>
  <c r="M121" i="1"/>
  <c r="N121" i="1"/>
  <c r="AD121" i="1" s="1"/>
  <c r="O121" i="1"/>
  <c r="L122" i="1"/>
  <c r="M122" i="1"/>
  <c r="N122" i="1"/>
  <c r="AD122" i="1" s="1"/>
  <c r="O122" i="1"/>
  <c r="L123" i="1"/>
  <c r="M123" i="1"/>
  <c r="N123" i="1"/>
  <c r="AD123" i="1" s="1"/>
  <c r="O123" i="1"/>
  <c r="L124" i="1"/>
  <c r="M124" i="1"/>
  <c r="N124" i="1"/>
  <c r="AD124" i="1" s="1"/>
  <c r="O124" i="1"/>
  <c r="L125" i="1"/>
  <c r="M125" i="1"/>
  <c r="N125" i="1"/>
  <c r="AD125" i="1" s="1"/>
  <c r="O125" i="1"/>
  <c r="L126" i="1"/>
  <c r="M126" i="1"/>
  <c r="N126" i="1"/>
  <c r="AD126" i="1" s="1"/>
  <c r="O126" i="1"/>
  <c r="L127" i="1"/>
  <c r="M127" i="1"/>
  <c r="N127" i="1"/>
  <c r="AD127" i="1" s="1"/>
  <c r="O127" i="1"/>
  <c r="L128" i="1"/>
  <c r="M128" i="1"/>
  <c r="N128" i="1"/>
  <c r="AD128" i="1" s="1"/>
  <c r="O128" i="1"/>
  <c r="L129" i="1"/>
  <c r="M129" i="1"/>
  <c r="N129" i="1"/>
  <c r="AD129" i="1" s="1"/>
  <c r="O129" i="1"/>
  <c r="L130" i="1"/>
  <c r="M130" i="1"/>
  <c r="N130" i="1"/>
  <c r="AD130" i="1" s="1"/>
  <c r="O130" i="1"/>
  <c r="L131" i="1"/>
  <c r="M131" i="1"/>
  <c r="N131" i="1"/>
  <c r="AD131" i="1" s="1"/>
  <c r="O131" i="1"/>
  <c r="L132" i="1"/>
  <c r="M132" i="1"/>
  <c r="N132" i="1"/>
  <c r="AD132" i="1" s="1"/>
  <c r="O132" i="1"/>
  <c r="L133" i="1"/>
  <c r="M133" i="1"/>
  <c r="N133" i="1"/>
  <c r="AD133" i="1" s="1"/>
  <c r="O133" i="1"/>
  <c r="L134" i="1"/>
  <c r="M134" i="1"/>
  <c r="N134" i="1"/>
  <c r="AD134" i="1" s="1"/>
  <c r="O134" i="1"/>
  <c r="L135" i="1"/>
  <c r="M135" i="1"/>
  <c r="N135" i="1"/>
  <c r="AD135" i="1" s="1"/>
  <c r="O135" i="1"/>
  <c r="L136" i="1"/>
  <c r="M136" i="1"/>
  <c r="N136" i="1"/>
  <c r="AD136" i="1" s="1"/>
  <c r="O136" i="1"/>
  <c r="L137" i="1"/>
  <c r="M137" i="1"/>
  <c r="N137" i="1"/>
  <c r="AD137" i="1" s="1"/>
  <c r="O137" i="1"/>
  <c r="L138" i="1"/>
  <c r="M138" i="1"/>
  <c r="N138" i="1"/>
  <c r="AD138" i="1" s="1"/>
  <c r="O138" i="1"/>
  <c r="L139" i="1"/>
  <c r="M139" i="1"/>
  <c r="N139" i="1"/>
  <c r="AD139" i="1" s="1"/>
  <c r="O139" i="1"/>
  <c r="L140" i="1"/>
  <c r="M140" i="1"/>
  <c r="N140" i="1"/>
  <c r="AD140" i="1" s="1"/>
  <c r="O140" i="1"/>
  <c r="L141" i="1"/>
  <c r="M141" i="1"/>
  <c r="N141" i="1"/>
  <c r="AD141" i="1" s="1"/>
  <c r="O141" i="1"/>
  <c r="L142" i="1"/>
  <c r="M142" i="1"/>
  <c r="N142" i="1"/>
  <c r="AD142" i="1" s="1"/>
  <c r="O142" i="1"/>
  <c r="L143" i="1"/>
  <c r="M143" i="1"/>
  <c r="N143" i="1"/>
  <c r="AD143" i="1" s="1"/>
  <c r="O143" i="1"/>
  <c r="L144" i="1"/>
  <c r="M144" i="1"/>
  <c r="N144" i="1"/>
  <c r="AD144" i="1" s="1"/>
  <c r="O144" i="1"/>
  <c r="L145" i="1"/>
  <c r="M145" i="1"/>
  <c r="N145" i="1"/>
  <c r="AD145" i="1" s="1"/>
  <c r="O145" i="1"/>
  <c r="L146" i="1"/>
  <c r="M146" i="1"/>
  <c r="N146" i="1"/>
  <c r="AD146" i="1" s="1"/>
  <c r="O146" i="1"/>
  <c r="L147" i="1"/>
  <c r="M147" i="1"/>
  <c r="N147" i="1"/>
  <c r="AD147" i="1" s="1"/>
  <c r="O147" i="1"/>
  <c r="L148" i="1"/>
  <c r="M148" i="1"/>
  <c r="N148" i="1"/>
  <c r="AD148" i="1" s="1"/>
  <c r="O148" i="1"/>
  <c r="L149" i="1"/>
  <c r="M149" i="1"/>
  <c r="N149" i="1"/>
  <c r="AD149" i="1" s="1"/>
  <c r="O149" i="1"/>
  <c r="L150" i="1"/>
  <c r="M150" i="1"/>
  <c r="N150" i="1"/>
  <c r="AD150" i="1" s="1"/>
  <c r="O150" i="1"/>
  <c r="L151" i="1"/>
  <c r="M151" i="1"/>
  <c r="N151" i="1"/>
  <c r="AD151" i="1" s="1"/>
  <c r="O151" i="1"/>
  <c r="L152" i="1"/>
  <c r="M152" i="1"/>
  <c r="N152" i="1"/>
  <c r="AD152" i="1" s="1"/>
  <c r="O152" i="1"/>
  <c r="L153" i="1"/>
  <c r="M153" i="1"/>
  <c r="N153" i="1"/>
  <c r="AD153" i="1" s="1"/>
  <c r="O153" i="1"/>
  <c r="L154" i="1"/>
  <c r="M154" i="1"/>
  <c r="N154" i="1"/>
  <c r="AD154" i="1" s="1"/>
  <c r="O154" i="1"/>
  <c r="L155" i="1"/>
  <c r="M155" i="1"/>
  <c r="N155" i="1"/>
  <c r="AD155" i="1" s="1"/>
  <c r="O155" i="1"/>
  <c r="L156" i="1"/>
  <c r="M156" i="1"/>
  <c r="N156" i="1"/>
  <c r="AD156" i="1" s="1"/>
  <c r="O156" i="1"/>
  <c r="L157" i="1"/>
  <c r="M157" i="1"/>
  <c r="N157" i="1"/>
  <c r="AD157" i="1" s="1"/>
  <c r="O157" i="1"/>
  <c r="L158" i="1"/>
  <c r="M158" i="1"/>
  <c r="N158" i="1"/>
  <c r="AD158" i="1" s="1"/>
  <c r="O158" i="1"/>
  <c r="L159" i="1"/>
  <c r="M159" i="1"/>
  <c r="N159" i="1"/>
  <c r="AD159" i="1" s="1"/>
  <c r="O159" i="1"/>
  <c r="L160" i="1"/>
  <c r="M160" i="1"/>
  <c r="N160" i="1"/>
  <c r="AD160" i="1" s="1"/>
  <c r="O160" i="1"/>
  <c r="L161" i="1"/>
  <c r="M161" i="1"/>
  <c r="N161" i="1"/>
  <c r="AD161" i="1" s="1"/>
  <c r="O161" i="1"/>
  <c r="L162" i="1"/>
  <c r="M162" i="1"/>
  <c r="N162" i="1"/>
  <c r="AD162" i="1" s="1"/>
  <c r="O162" i="1"/>
  <c r="L163" i="1"/>
  <c r="M163" i="1"/>
  <c r="N163" i="1"/>
  <c r="AD163" i="1" s="1"/>
  <c r="O163" i="1"/>
  <c r="L164" i="1"/>
  <c r="M164" i="1"/>
  <c r="N164" i="1"/>
  <c r="AD164" i="1" s="1"/>
  <c r="O164" i="1"/>
  <c r="L165" i="1"/>
  <c r="M165" i="1"/>
  <c r="N165" i="1"/>
  <c r="AD165" i="1" s="1"/>
  <c r="O165" i="1"/>
  <c r="L166" i="1"/>
  <c r="M166" i="1"/>
  <c r="N166" i="1"/>
  <c r="AD166" i="1" s="1"/>
  <c r="O166" i="1"/>
  <c r="L167" i="1"/>
  <c r="M167" i="1"/>
  <c r="N167" i="1"/>
  <c r="AD167" i="1" s="1"/>
  <c r="O167" i="1"/>
  <c r="L168" i="1"/>
  <c r="M168" i="1"/>
  <c r="N168" i="1"/>
  <c r="AD168" i="1" s="1"/>
  <c r="O168" i="1"/>
  <c r="L169" i="1"/>
  <c r="M169" i="1"/>
  <c r="N169" i="1"/>
  <c r="AD169" i="1" s="1"/>
  <c r="O169" i="1"/>
  <c r="L170" i="1"/>
  <c r="M170" i="1"/>
  <c r="N170" i="1"/>
  <c r="AD170" i="1" s="1"/>
  <c r="O170" i="1"/>
  <c r="L171" i="1"/>
  <c r="M171" i="1"/>
  <c r="N171" i="1"/>
  <c r="AD171" i="1" s="1"/>
  <c r="O171" i="1"/>
  <c r="L172" i="1"/>
  <c r="M172" i="1"/>
  <c r="N172" i="1"/>
  <c r="AD172" i="1" s="1"/>
  <c r="O172" i="1"/>
  <c r="L173" i="1"/>
  <c r="M173" i="1"/>
  <c r="N173" i="1"/>
  <c r="AD173" i="1" s="1"/>
  <c r="O173" i="1"/>
  <c r="L174" i="1"/>
  <c r="M174" i="1"/>
  <c r="N174" i="1"/>
  <c r="AD174" i="1" s="1"/>
  <c r="O174" i="1"/>
  <c r="L175" i="1"/>
  <c r="M175" i="1"/>
  <c r="N175" i="1"/>
  <c r="AD175" i="1" s="1"/>
  <c r="O175" i="1"/>
  <c r="L176" i="1"/>
  <c r="M176" i="1"/>
  <c r="N176" i="1"/>
  <c r="AD176" i="1" s="1"/>
  <c r="O176" i="1"/>
  <c r="L177" i="1"/>
  <c r="M177" i="1"/>
  <c r="N177" i="1"/>
  <c r="AD177" i="1" s="1"/>
  <c r="O177" i="1"/>
  <c r="L178" i="1"/>
  <c r="M178" i="1"/>
  <c r="N178" i="1"/>
  <c r="AD178" i="1" s="1"/>
  <c r="O178" i="1"/>
  <c r="L179" i="1"/>
  <c r="M179" i="1"/>
  <c r="N179" i="1"/>
  <c r="AD179" i="1" s="1"/>
  <c r="O179" i="1"/>
  <c r="L180" i="1"/>
  <c r="M180" i="1"/>
  <c r="N180" i="1"/>
  <c r="AD180" i="1" s="1"/>
  <c r="O180" i="1"/>
  <c r="L181" i="1"/>
  <c r="M181" i="1"/>
  <c r="N181" i="1"/>
  <c r="AD181" i="1" s="1"/>
  <c r="O181" i="1"/>
  <c r="L182" i="1"/>
  <c r="M182" i="1"/>
  <c r="N182" i="1"/>
  <c r="AD182" i="1" s="1"/>
  <c r="O182" i="1"/>
  <c r="L61" i="1"/>
  <c r="BG182" i="1" l="1"/>
  <c r="BG174" i="1"/>
  <c r="BG166" i="1"/>
  <c r="BG158" i="1"/>
  <c r="BG150" i="1"/>
  <c r="BG142" i="1"/>
  <c r="BG134" i="1"/>
  <c r="BG126" i="1"/>
  <c r="BG118" i="1"/>
  <c r="BG110" i="1"/>
  <c r="BG102" i="1"/>
  <c r="BG180" i="1"/>
  <c r="BG178" i="1"/>
  <c r="BG176" i="1"/>
  <c r="BG172" i="1"/>
  <c r="BG170" i="1"/>
  <c r="BG168" i="1"/>
  <c r="BG164" i="1"/>
  <c r="BG162" i="1"/>
  <c r="BG160" i="1"/>
  <c r="BG156" i="1"/>
  <c r="BG154" i="1"/>
  <c r="BG152" i="1"/>
  <c r="BG148" i="1"/>
  <c r="BG146" i="1"/>
  <c r="BG144" i="1"/>
  <c r="BG140" i="1"/>
  <c r="BG138" i="1"/>
  <c r="BG136" i="1"/>
  <c r="BG132" i="1"/>
  <c r="BG130" i="1"/>
  <c r="BG128" i="1"/>
  <c r="BG124" i="1"/>
  <c r="BG122" i="1"/>
  <c r="BG120" i="1"/>
  <c r="BG116" i="1"/>
  <c r="BG114" i="1"/>
  <c r="BG112" i="1"/>
  <c r="BG108" i="1"/>
  <c r="BG106" i="1"/>
  <c r="BG104" i="1"/>
  <c r="BG100" i="1"/>
  <c r="BG98" i="1"/>
  <c r="BG181" i="1"/>
  <c r="BG179" i="1"/>
  <c r="BG177" i="1"/>
  <c r="BG175" i="1"/>
  <c r="BG173" i="1"/>
  <c r="BG171" i="1"/>
  <c r="BG169" i="1"/>
  <c r="BG167" i="1"/>
  <c r="BG165" i="1"/>
  <c r="BG163" i="1"/>
  <c r="BG161" i="1"/>
  <c r="BG159" i="1"/>
  <c r="BG157" i="1"/>
  <c r="BG155" i="1"/>
  <c r="BG153" i="1"/>
  <c r="BG151" i="1"/>
  <c r="BG149" i="1"/>
  <c r="BG147" i="1"/>
  <c r="BG145" i="1"/>
  <c r="BG143" i="1"/>
  <c r="BG141" i="1"/>
  <c r="BG139" i="1"/>
  <c r="BG137" i="1"/>
  <c r="BG135" i="1"/>
  <c r="BG133" i="1"/>
  <c r="BG131" i="1"/>
  <c r="BG129" i="1"/>
  <c r="BG127" i="1"/>
  <c r="BG125" i="1"/>
  <c r="BG123" i="1"/>
  <c r="BG121" i="1"/>
  <c r="BG119" i="1"/>
  <c r="BG117" i="1"/>
  <c r="BG115" i="1"/>
  <c r="BG113" i="1"/>
  <c r="BG111" i="1"/>
  <c r="BG109" i="1"/>
  <c r="BG107" i="1"/>
  <c r="BG105" i="1"/>
  <c r="BG103" i="1"/>
  <c r="BG101" i="1"/>
  <c r="BG99" i="1"/>
  <c r="BG97" i="1"/>
  <c r="AN181" i="1"/>
  <c r="AI181" i="1"/>
  <c r="AN180" i="1"/>
  <c r="AI180" i="1"/>
  <c r="AN179" i="1"/>
  <c r="AI179" i="1"/>
  <c r="AN178" i="1"/>
  <c r="AI178" i="1"/>
  <c r="AN182" i="1"/>
  <c r="AI182" i="1"/>
  <c r="AN177" i="1"/>
  <c r="AI177" i="1"/>
  <c r="AN176" i="1"/>
  <c r="AI176" i="1"/>
  <c r="AN175" i="1"/>
  <c r="AI175" i="1"/>
  <c r="AN174" i="1"/>
  <c r="AI174" i="1"/>
  <c r="AN173" i="1"/>
  <c r="AI173" i="1"/>
  <c r="AN172" i="1"/>
  <c r="AI172" i="1"/>
  <c r="AN171" i="1"/>
  <c r="AI171" i="1"/>
  <c r="AN170" i="1"/>
  <c r="AI170" i="1"/>
  <c r="AN169" i="1"/>
  <c r="AI169" i="1"/>
  <c r="AN168" i="1"/>
  <c r="AI168" i="1"/>
  <c r="AN167" i="1"/>
  <c r="AI167" i="1"/>
  <c r="AN166" i="1"/>
  <c r="AI166" i="1"/>
  <c r="AN165" i="1"/>
  <c r="AI165" i="1"/>
  <c r="AN164" i="1"/>
  <c r="AI164" i="1"/>
  <c r="AN163" i="1"/>
  <c r="AI163" i="1"/>
  <c r="AN162" i="1"/>
  <c r="AI162" i="1"/>
  <c r="AN161" i="1"/>
  <c r="AI161" i="1"/>
  <c r="AN160" i="1"/>
  <c r="AI160" i="1"/>
  <c r="AN159" i="1"/>
  <c r="AI159" i="1"/>
  <c r="AN158" i="1"/>
  <c r="AI158" i="1"/>
  <c r="AN157" i="1"/>
  <c r="AI157" i="1"/>
  <c r="AN156" i="1"/>
  <c r="AI156" i="1"/>
  <c r="AN155" i="1"/>
  <c r="AI155" i="1"/>
  <c r="AN154" i="1"/>
  <c r="AI154" i="1"/>
  <c r="AN153" i="1"/>
  <c r="AI153" i="1"/>
  <c r="AN152" i="1"/>
  <c r="AI152" i="1"/>
  <c r="AN151" i="1"/>
  <c r="AI151" i="1"/>
  <c r="AN150" i="1"/>
  <c r="AI150" i="1"/>
  <c r="AN149" i="1"/>
  <c r="AI149" i="1"/>
  <c r="AN148" i="1"/>
  <c r="AI148" i="1"/>
  <c r="AN147" i="1"/>
  <c r="AI147" i="1"/>
  <c r="AN146" i="1"/>
  <c r="AI146" i="1"/>
  <c r="AN145" i="1"/>
  <c r="AI145" i="1"/>
  <c r="AN144" i="1"/>
  <c r="AI144" i="1"/>
  <c r="AN143" i="1"/>
  <c r="AI143" i="1"/>
  <c r="AN142" i="1"/>
  <c r="AI142" i="1"/>
  <c r="AN141" i="1"/>
  <c r="AI141" i="1"/>
  <c r="AN140" i="1"/>
  <c r="AI140" i="1"/>
  <c r="AN139" i="1"/>
  <c r="AI139" i="1"/>
  <c r="AN138" i="1"/>
  <c r="AI138" i="1"/>
  <c r="AN137" i="1"/>
  <c r="AI137" i="1"/>
  <c r="AN136" i="1"/>
  <c r="AI136" i="1"/>
  <c r="AN135" i="1"/>
  <c r="AI135" i="1"/>
  <c r="AN134" i="1"/>
  <c r="AI134" i="1"/>
  <c r="AN133" i="1"/>
  <c r="AI133" i="1"/>
  <c r="AN132" i="1"/>
  <c r="AI132" i="1"/>
  <c r="AN131" i="1"/>
  <c r="AI131" i="1"/>
  <c r="AN130" i="1"/>
  <c r="AI130" i="1"/>
  <c r="AN129" i="1"/>
  <c r="AI129" i="1"/>
  <c r="AN128" i="1"/>
  <c r="AI128" i="1"/>
  <c r="AN127" i="1"/>
  <c r="AI127" i="1"/>
  <c r="AN126" i="1"/>
  <c r="AI126" i="1"/>
  <c r="AN125" i="1"/>
  <c r="AI125" i="1"/>
  <c r="AN124" i="1"/>
  <c r="AI124" i="1"/>
  <c r="AN123" i="1"/>
  <c r="AI123" i="1"/>
  <c r="AN122" i="1"/>
  <c r="AI122" i="1"/>
  <c r="AN121" i="1"/>
  <c r="AI121" i="1"/>
  <c r="AN120" i="1"/>
  <c r="AI120" i="1"/>
  <c r="AN119" i="1"/>
  <c r="AI119" i="1"/>
  <c r="AN118" i="1"/>
  <c r="AI118" i="1"/>
  <c r="AN117" i="1"/>
  <c r="AI117" i="1"/>
  <c r="AN116" i="1"/>
  <c r="AI116" i="1"/>
  <c r="AN115" i="1"/>
  <c r="AI115" i="1"/>
  <c r="AN114" i="1"/>
  <c r="AI114" i="1"/>
  <c r="AN113" i="1"/>
  <c r="AI113" i="1"/>
  <c r="AN112" i="1"/>
  <c r="AI112" i="1"/>
  <c r="AN111" i="1"/>
  <c r="AI111" i="1"/>
  <c r="AN110" i="1"/>
  <c r="AI110" i="1"/>
  <c r="AN109" i="1"/>
  <c r="AI109" i="1"/>
  <c r="AN108" i="1"/>
  <c r="AI108" i="1"/>
  <c r="AN107" i="1"/>
  <c r="AI107" i="1"/>
  <c r="AN106" i="1"/>
  <c r="AI106" i="1"/>
  <c r="AN105" i="1"/>
  <c r="AI105" i="1"/>
  <c r="AN104" i="1"/>
  <c r="AI104" i="1"/>
  <c r="AN103" i="1"/>
  <c r="AI103" i="1"/>
  <c r="AN102" i="1"/>
  <c r="AI102" i="1"/>
  <c r="AN101" i="1"/>
  <c r="AI101" i="1"/>
  <c r="AN100" i="1"/>
  <c r="AI100" i="1"/>
  <c r="AN99" i="1"/>
  <c r="AI99" i="1"/>
  <c r="AN98" i="1"/>
  <c r="AI98" i="1"/>
  <c r="AN97" i="1"/>
  <c r="AI97" i="1"/>
  <c r="B97" i="1" l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D182" i="1"/>
  <c r="D181" i="1"/>
  <c r="D180" i="1"/>
  <c r="D179" i="1"/>
  <c r="D178" i="1"/>
  <c r="D177" i="1"/>
  <c r="D176" i="1"/>
  <c r="D175" i="1"/>
  <c r="D174" i="1"/>
  <c r="D172" i="1"/>
  <c r="D171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L96" i="1" l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L1" i="1"/>
  <c r="BA96" i="1" l="1"/>
  <c r="BD96" i="1"/>
  <c r="BF96" i="1" s="1"/>
  <c r="M96" i="1"/>
  <c r="N96" i="1"/>
  <c r="AD96" i="1" s="1"/>
  <c r="O96" i="1"/>
  <c r="AI96" i="1" s="1"/>
  <c r="B96" i="1"/>
  <c r="AN96" i="1" l="1"/>
  <c r="BG96" i="1"/>
  <c r="O15" i="1" l="1"/>
  <c r="O16" i="1"/>
  <c r="O18" i="1"/>
  <c r="O19" i="1"/>
  <c r="O20" i="1"/>
  <c r="O21" i="1"/>
  <c r="O22" i="1"/>
  <c r="O24" i="1"/>
  <c r="O25" i="1"/>
  <c r="O26" i="1"/>
  <c r="O27" i="1"/>
  <c r="O28" i="1"/>
  <c r="O30" i="1"/>
  <c r="O31" i="1"/>
  <c r="O32" i="1"/>
  <c r="O33" i="1"/>
  <c r="O34" i="1"/>
  <c r="O36" i="1"/>
  <c r="O37" i="1"/>
  <c r="O38" i="1"/>
  <c r="O39" i="1"/>
  <c r="O40" i="1"/>
  <c r="O42" i="1"/>
  <c r="O43" i="1"/>
  <c r="O44" i="1"/>
  <c r="O45" i="1"/>
  <c r="O46" i="1"/>
  <c r="O48" i="1"/>
  <c r="O49" i="1"/>
  <c r="O50" i="1"/>
  <c r="O51" i="1"/>
  <c r="O52" i="1"/>
  <c r="O54" i="1"/>
  <c r="O55" i="1"/>
  <c r="O56" i="1"/>
  <c r="O57" i="1"/>
  <c r="O58" i="1"/>
  <c r="O61" i="1"/>
  <c r="O62" i="1"/>
  <c r="O63" i="1"/>
  <c r="O64" i="1"/>
  <c r="O66" i="1"/>
  <c r="O67" i="1"/>
  <c r="O68" i="1"/>
  <c r="O70" i="1"/>
  <c r="O72" i="1"/>
  <c r="O73" i="1"/>
  <c r="O74" i="1"/>
  <c r="O75" i="1"/>
  <c r="O76" i="1"/>
  <c r="O78" i="1"/>
  <c r="O79" i="1"/>
  <c r="O80" i="1"/>
  <c r="O81" i="1"/>
  <c r="O82" i="1"/>
  <c r="O84" i="1"/>
  <c r="O85" i="1"/>
  <c r="O86" i="1"/>
  <c r="O87" i="1"/>
  <c r="O88" i="1"/>
  <c r="O90" i="1"/>
  <c r="O91" i="1"/>
  <c r="O92" i="1"/>
  <c r="O93" i="1"/>
  <c r="O94" i="1"/>
  <c r="O3" i="1"/>
  <c r="O4" i="1"/>
  <c r="O6" i="1"/>
  <c r="O7" i="1"/>
  <c r="O9" i="1"/>
  <c r="O12" i="1"/>
  <c r="O13" i="1"/>
  <c r="O14" i="1"/>
  <c r="O1" i="1"/>
  <c r="AI1" i="1" l="1"/>
  <c r="AN1" i="1"/>
  <c r="AI13" i="1"/>
  <c r="AN13" i="1"/>
  <c r="AI9" i="1"/>
  <c r="AN9" i="1"/>
  <c r="AI6" i="1"/>
  <c r="AN6" i="1"/>
  <c r="AI3" i="1"/>
  <c r="AN3" i="1"/>
  <c r="AI93" i="1"/>
  <c r="AN93" i="1"/>
  <c r="AI91" i="1"/>
  <c r="AN91" i="1"/>
  <c r="AI88" i="1"/>
  <c r="AN88" i="1"/>
  <c r="AI86" i="1"/>
  <c r="AN86" i="1"/>
  <c r="AI84" i="1"/>
  <c r="AN84" i="1"/>
  <c r="AI81" i="1"/>
  <c r="AN81" i="1"/>
  <c r="AI79" i="1"/>
  <c r="AN79" i="1"/>
  <c r="AI76" i="1"/>
  <c r="AN76" i="1"/>
  <c r="AI74" i="1"/>
  <c r="AN74" i="1"/>
  <c r="AI72" i="1"/>
  <c r="AN72" i="1"/>
  <c r="AI67" i="1"/>
  <c r="AN67" i="1"/>
  <c r="AI64" i="1"/>
  <c r="AN64" i="1"/>
  <c r="AI62" i="1"/>
  <c r="AN62" i="1"/>
  <c r="AI58" i="1"/>
  <c r="AN58" i="1"/>
  <c r="AI56" i="1"/>
  <c r="AN56" i="1"/>
  <c r="AI54" i="1"/>
  <c r="AN54" i="1"/>
  <c r="AI51" i="1"/>
  <c r="AN51" i="1"/>
  <c r="AI49" i="1"/>
  <c r="AN49" i="1"/>
  <c r="AI46" i="1"/>
  <c r="AN46" i="1"/>
  <c r="AI44" i="1"/>
  <c r="AN44" i="1"/>
  <c r="AI42" i="1"/>
  <c r="AN42" i="1"/>
  <c r="AI39" i="1"/>
  <c r="AN39" i="1"/>
  <c r="AI37" i="1"/>
  <c r="AN37" i="1"/>
  <c r="AI34" i="1"/>
  <c r="AN34" i="1"/>
  <c r="AI32" i="1"/>
  <c r="AN32" i="1"/>
  <c r="AI30" i="1"/>
  <c r="AN30" i="1"/>
  <c r="AI27" i="1"/>
  <c r="AN27" i="1"/>
  <c r="AI25" i="1"/>
  <c r="AN25" i="1"/>
  <c r="AI22" i="1"/>
  <c r="AN22" i="1"/>
  <c r="AI20" i="1"/>
  <c r="AN20" i="1"/>
  <c r="AI18" i="1"/>
  <c r="AN18" i="1"/>
  <c r="AI15" i="1"/>
  <c r="AN15" i="1"/>
  <c r="AI14" i="1"/>
  <c r="AN14" i="1"/>
  <c r="AI12" i="1"/>
  <c r="AN12" i="1"/>
  <c r="AI7" i="1"/>
  <c r="AN7" i="1"/>
  <c r="AI4" i="1"/>
  <c r="AN4" i="1"/>
  <c r="AI94" i="1"/>
  <c r="AN94" i="1"/>
  <c r="AI92" i="1"/>
  <c r="AN92" i="1"/>
  <c r="AI90" i="1"/>
  <c r="AN90" i="1"/>
  <c r="AI87" i="1"/>
  <c r="AN87" i="1"/>
  <c r="AI85" i="1"/>
  <c r="AN85" i="1"/>
  <c r="AI82" i="1"/>
  <c r="AN82" i="1"/>
  <c r="AI80" i="1"/>
  <c r="AN80" i="1"/>
  <c r="AI78" i="1"/>
  <c r="AN78" i="1"/>
  <c r="AI75" i="1"/>
  <c r="AN75" i="1"/>
  <c r="AI73" i="1"/>
  <c r="AN73" i="1"/>
  <c r="AI70" i="1"/>
  <c r="AN70" i="1"/>
  <c r="AI68" i="1"/>
  <c r="AN68" i="1"/>
  <c r="AI66" i="1"/>
  <c r="AN66" i="1"/>
  <c r="AI63" i="1"/>
  <c r="AN63" i="1"/>
  <c r="AI61" i="1"/>
  <c r="AN61" i="1"/>
  <c r="AI57" i="1"/>
  <c r="AN57" i="1"/>
  <c r="AI55" i="1"/>
  <c r="AN55" i="1"/>
  <c r="AI52" i="1"/>
  <c r="AN52" i="1"/>
  <c r="AI50" i="1"/>
  <c r="AN50" i="1"/>
  <c r="AI48" i="1"/>
  <c r="AN48" i="1"/>
  <c r="AI45" i="1"/>
  <c r="AN45" i="1"/>
  <c r="AI43" i="1"/>
  <c r="AN43" i="1"/>
  <c r="AI40" i="1"/>
  <c r="AN40" i="1"/>
  <c r="AI38" i="1"/>
  <c r="AN38" i="1"/>
  <c r="AI36" i="1"/>
  <c r="AN36" i="1"/>
  <c r="AI33" i="1"/>
  <c r="AN33" i="1"/>
  <c r="AI31" i="1"/>
  <c r="AN31" i="1"/>
  <c r="AI28" i="1"/>
  <c r="AN28" i="1"/>
  <c r="AI26" i="1"/>
  <c r="AN26" i="1"/>
  <c r="AI24" i="1"/>
  <c r="AN24" i="1"/>
  <c r="AI21" i="1"/>
  <c r="AN21" i="1"/>
  <c r="AI19" i="1"/>
  <c r="AN19" i="1"/>
  <c r="AI16" i="1"/>
  <c r="AN16" i="1"/>
  <c r="BD95" i="1"/>
  <c r="BF95" i="1" s="1"/>
  <c r="BA95" i="1"/>
  <c r="N95" i="1"/>
  <c r="M95" i="1"/>
  <c r="B95" i="1"/>
  <c r="BD94" i="1"/>
  <c r="BF94" i="1" s="1"/>
  <c r="BA94" i="1"/>
  <c r="N94" i="1"/>
  <c r="AD94" i="1" s="1"/>
  <c r="M94" i="1"/>
  <c r="Y94" i="1" s="1"/>
  <c r="B94" i="1"/>
  <c r="BD93" i="1"/>
  <c r="BF93" i="1" s="1"/>
  <c r="BA93" i="1"/>
  <c r="N93" i="1"/>
  <c r="AD93" i="1" s="1"/>
  <c r="M93" i="1"/>
  <c r="B93" i="1"/>
  <c r="BD92" i="1"/>
  <c r="BF92" i="1" s="1"/>
  <c r="BA92" i="1"/>
  <c r="N92" i="1"/>
  <c r="AD92" i="1" s="1"/>
  <c r="M92" i="1"/>
  <c r="B92" i="1"/>
  <c r="BD91" i="1"/>
  <c r="BF91" i="1" s="1"/>
  <c r="BA91" i="1"/>
  <c r="N91" i="1"/>
  <c r="AD91" i="1" s="1"/>
  <c r="M91" i="1"/>
  <c r="Y91" i="1" s="1"/>
  <c r="B91" i="1"/>
  <c r="BD90" i="1"/>
  <c r="BF90" i="1" s="1"/>
  <c r="BA90" i="1"/>
  <c r="N90" i="1"/>
  <c r="AD90" i="1" s="1"/>
  <c r="M90" i="1"/>
  <c r="Y90" i="1" s="1"/>
  <c r="B90" i="1"/>
  <c r="BD89" i="1"/>
  <c r="BF89" i="1" s="1"/>
  <c r="BA89" i="1"/>
  <c r="N89" i="1"/>
  <c r="AD89" i="1" s="1"/>
  <c r="M89" i="1"/>
  <c r="B89" i="1"/>
  <c r="BD88" i="1"/>
  <c r="BF88" i="1" s="1"/>
  <c r="BA88" i="1"/>
  <c r="N88" i="1"/>
  <c r="AD88" i="1" s="1"/>
  <c r="M88" i="1"/>
  <c r="B88" i="1"/>
  <c r="BD87" i="1"/>
  <c r="BF87" i="1" s="1"/>
  <c r="BA87" i="1"/>
  <c r="N87" i="1"/>
  <c r="AD87" i="1" s="1"/>
  <c r="M87" i="1"/>
  <c r="B87" i="1"/>
  <c r="BD86" i="1"/>
  <c r="BF86" i="1" s="1"/>
  <c r="BA86" i="1"/>
  <c r="N86" i="1"/>
  <c r="AD86" i="1" s="1"/>
  <c r="M86" i="1"/>
  <c r="B86" i="1"/>
  <c r="BD85" i="1"/>
  <c r="BF85" i="1" s="1"/>
  <c r="BA85" i="1"/>
  <c r="N85" i="1"/>
  <c r="AD85" i="1" s="1"/>
  <c r="M85" i="1"/>
  <c r="Y85" i="1" s="1"/>
  <c r="B85" i="1"/>
  <c r="BD84" i="1"/>
  <c r="BF84" i="1" s="1"/>
  <c r="BA84" i="1"/>
  <c r="N84" i="1"/>
  <c r="AD84" i="1" s="1"/>
  <c r="M84" i="1"/>
  <c r="B84" i="1"/>
  <c r="BD83" i="1"/>
  <c r="BF83" i="1" s="1"/>
  <c r="BA83" i="1"/>
  <c r="N83" i="1"/>
  <c r="AD83" i="1" s="1"/>
  <c r="M83" i="1"/>
  <c r="B83" i="1"/>
  <c r="BD82" i="1"/>
  <c r="BF82" i="1" s="1"/>
  <c r="BA82" i="1"/>
  <c r="N82" i="1"/>
  <c r="AD82" i="1" s="1"/>
  <c r="M82" i="1"/>
  <c r="B82" i="1"/>
  <c r="BD81" i="1"/>
  <c r="BF81" i="1" s="1"/>
  <c r="BA81" i="1"/>
  <c r="N81" i="1"/>
  <c r="AD81" i="1" s="1"/>
  <c r="M81" i="1"/>
  <c r="B81" i="1"/>
  <c r="BD80" i="1"/>
  <c r="BF80" i="1" s="1"/>
  <c r="BA80" i="1"/>
  <c r="N80" i="1"/>
  <c r="AD80" i="1" s="1"/>
  <c r="M80" i="1"/>
  <c r="Y80" i="1" s="1"/>
  <c r="B80" i="1"/>
  <c r="BD79" i="1"/>
  <c r="BF79" i="1" s="1"/>
  <c r="BA79" i="1"/>
  <c r="N79" i="1"/>
  <c r="AD79" i="1" s="1"/>
  <c r="M79" i="1"/>
  <c r="B79" i="1"/>
  <c r="BD78" i="1"/>
  <c r="BF78" i="1" s="1"/>
  <c r="BA78" i="1"/>
  <c r="N78" i="1"/>
  <c r="AD78" i="1" s="1"/>
  <c r="M78" i="1"/>
  <c r="B78" i="1"/>
  <c r="BD77" i="1"/>
  <c r="BF77" i="1" s="1"/>
  <c r="BA77" i="1"/>
  <c r="N77" i="1"/>
  <c r="AD77" i="1" s="1"/>
  <c r="M77" i="1"/>
  <c r="B77" i="1"/>
  <c r="BD76" i="1"/>
  <c r="BF76" i="1" s="1"/>
  <c r="BA76" i="1"/>
  <c r="N76" i="1"/>
  <c r="AD76" i="1" s="1"/>
  <c r="M76" i="1"/>
  <c r="Y76" i="1" s="1"/>
  <c r="B76" i="1"/>
  <c r="BD75" i="1"/>
  <c r="BF75" i="1" s="1"/>
  <c r="BA75" i="1"/>
  <c r="N75" i="1"/>
  <c r="AD75" i="1" s="1"/>
  <c r="M75" i="1"/>
  <c r="Y75" i="1" s="1"/>
  <c r="B75" i="1"/>
  <c r="BD74" i="1"/>
  <c r="BF74" i="1" s="1"/>
  <c r="BA74" i="1"/>
  <c r="N74" i="1"/>
  <c r="AD74" i="1" s="1"/>
  <c r="M74" i="1"/>
  <c r="B74" i="1"/>
  <c r="BD73" i="1"/>
  <c r="BF73" i="1" s="1"/>
  <c r="BA73" i="1"/>
  <c r="N73" i="1"/>
  <c r="AD73" i="1" s="1"/>
  <c r="M73" i="1"/>
  <c r="B73" i="1"/>
  <c r="BD72" i="1"/>
  <c r="BF72" i="1" s="1"/>
  <c r="BA72" i="1"/>
  <c r="N72" i="1"/>
  <c r="AD72" i="1" s="1"/>
  <c r="M72" i="1"/>
  <c r="Y72" i="1" s="1"/>
  <c r="B72" i="1"/>
  <c r="BD71" i="1"/>
  <c r="BF71" i="1" s="1"/>
  <c r="BA71" i="1"/>
  <c r="N71" i="1"/>
  <c r="AD71" i="1" s="1"/>
  <c r="M71" i="1"/>
  <c r="Y71" i="1" s="1"/>
  <c r="B71" i="1"/>
  <c r="BD70" i="1"/>
  <c r="BF70" i="1" s="1"/>
  <c r="BA70" i="1"/>
  <c r="N70" i="1"/>
  <c r="AD70" i="1" s="1"/>
  <c r="M70" i="1"/>
  <c r="B70" i="1"/>
  <c r="BD69" i="1"/>
  <c r="BF69" i="1" s="1"/>
  <c r="BA69" i="1"/>
  <c r="N69" i="1"/>
  <c r="M69" i="1"/>
  <c r="B69" i="1"/>
  <c r="BD68" i="1"/>
  <c r="BF68" i="1" s="1"/>
  <c r="BA68" i="1"/>
  <c r="N68" i="1"/>
  <c r="AD68" i="1" s="1"/>
  <c r="M68" i="1"/>
  <c r="B68" i="1"/>
  <c r="BD67" i="1"/>
  <c r="BF67" i="1" s="1"/>
  <c r="BA67" i="1"/>
  <c r="N67" i="1"/>
  <c r="AD67" i="1" s="1"/>
  <c r="M67" i="1"/>
  <c r="B67" i="1"/>
  <c r="BD66" i="1"/>
  <c r="BF66" i="1" s="1"/>
  <c r="BA66" i="1"/>
  <c r="N66" i="1"/>
  <c r="AD66" i="1" s="1"/>
  <c r="M66" i="1"/>
  <c r="Y66" i="1" s="1"/>
  <c r="B66" i="1"/>
  <c r="BD65" i="1"/>
  <c r="BF65" i="1" s="1"/>
  <c r="BA65" i="1"/>
  <c r="N65" i="1"/>
  <c r="AD65" i="1" s="1"/>
  <c r="M65" i="1"/>
  <c r="Y65" i="1" s="1"/>
  <c r="B65" i="1"/>
  <c r="BD64" i="1"/>
  <c r="BF64" i="1" s="1"/>
  <c r="BA64" i="1"/>
  <c r="N64" i="1"/>
  <c r="AD64" i="1" s="1"/>
  <c r="M64" i="1"/>
  <c r="B64" i="1"/>
  <c r="BD63" i="1"/>
  <c r="BF63" i="1" s="1"/>
  <c r="BA63" i="1"/>
  <c r="N63" i="1"/>
  <c r="AD63" i="1" s="1"/>
  <c r="M63" i="1"/>
  <c r="B63" i="1"/>
  <c r="BD62" i="1"/>
  <c r="BF62" i="1" s="1"/>
  <c r="BA62" i="1"/>
  <c r="N62" i="1"/>
  <c r="AD62" i="1" s="1"/>
  <c r="M62" i="1"/>
  <c r="B62" i="1"/>
  <c r="BD61" i="1"/>
  <c r="BF61" i="1" s="1"/>
  <c r="BA61" i="1"/>
  <c r="N61" i="1"/>
  <c r="AD61" i="1" s="1"/>
  <c r="M61" i="1"/>
  <c r="B61" i="1"/>
  <c r="BD60" i="1"/>
  <c r="BF60" i="1" s="1"/>
  <c r="BA60" i="1"/>
  <c r="N60" i="1"/>
  <c r="M60" i="1"/>
  <c r="B60" i="1"/>
  <c r="BD59" i="1"/>
  <c r="BF59" i="1" s="1"/>
  <c r="BA59" i="1"/>
  <c r="N59" i="1"/>
  <c r="AD59" i="1" s="1"/>
  <c r="M59" i="1"/>
  <c r="B59" i="1"/>
  <c r="BD58" i="1"/>
  <c r="BF58" i="1" s="1"/>
  <c r="BA58" i="1"/>
  <c r="N58" i="1"/>
  <c r="AD58" i="1" s="1"/>
  <c r="M58" i="1"/>
  <c r="Y58" i="1" s="1"/>
  <c r="B58" i="1"/>
  <c r="BD57" i="1"/>
  <c r="BF57" i="1" s="1"/>
  <c r="BA57" i="1"/>
  <c r="N57" i="1"/>
  <c r="AD57" i="1" s="1"/>
  <c r="M57" i="1"/>
  <c r="B57" i="1"/>
  <c r="BD56" i="1"/>
  <c r="BF56" i="1" s="1"/>
  <c r="BA56" i="1"/>
  <c r="N56" i="1"/>
  <c r="AD56" i="1" s="1"/>
  <c r="M56" i="1"/>
  <c r="B56" i="1"/>
  <c r="BD55" i="1"/>
  <c r="BF55" i="1" s="1"/>
  <c r="BA55" i="1"/>
  <c r="N55" i="1"/>
  <c r="AD55" i="1" s="1"/>
  <c r="M55" i="1"/>
  <c r="B55" i="1"/>
  <c r="BD54" i="1"/>
  <c r="BF54" i="1" s="1"/>
  <c r="BA54" i="1"/>
  <c r="N54" i="1"/>
  <c r="AD54" i="1" s="1"/>
  <c r="M54" i="1"/>
  <c r="B54" i="1"/>
  <c r="BD53" i="1"/>
  <c r="BF53" i="1" s="1"/>
  <c r="BA53" i="1"/>
  <c r="N53" i="1"/>
  <c r="AD53" i="1" s="1"/>
  <c r="M53" i="1"/>
  <c r="B53" i="1"/>
  <c r="BD52" i="1"/>
  <c r="BF52" i="1" s="1"/>
  <c r="BA52" i="1"/>
  <c r="N52" i="1"/>
  <c r="AD52" i="1" s="1"/>
  <c r="M52" i="1"/>
  <c r="B52" i="1"/>
  <c r="BD51" i="1"/>
  <c r="BF51" i="1" s="1"/>
  <c r="BA51" i="1"/>
  <c r="N51" i="1"/>
  <c r="AD51" i="1" s="1"/>
  <c r="M51" i="1"/>
  <c r="B51" i="1"/>
  <c r="BD50" i="1"/>
  <c r="BF50" i="1" s="1"/>
  <c r="BA50" i="1"/>
  <c r="N50" i="1"/>
  <c r="AD50" i="1" s="1"/>
  <c r="M50" i="1"/>
  <c r="Y50" i="1" s="1"/>
  <c r="B50" i="1"/>
  <c r="BD49" i="1"/>
  <c r="BF49" i="1" s="1"/>
  <c r="BA49" i="1"/>
  <c r="N49" i="1"/>
  <c r="AD49" i="1" s="1"/>
  <c r="M49" i="1"/>
  <c r="B49" i="1"/>
  <c r="BD48" i="1"/>
  <c r="BF48" i="1" s="1"/>
  <c r="BA48" i="1"/>
  <c r="N48" i="1"/>
  <c r="AD48" i="1" s="1"/>
  <c r="M48" i="1"/>
  <c r="B48" i="1"/>
  <c r="BD47" i="1"/>
  <c r="BF47" i="1" s="1"/>
  <c r="BA47" i="1"/>
  <c r="N47" i="1"/>
  <c r="AD47" i="1" s="1"/>
  <c r="M47" i="1"/>
  <c r="B47" i="1"/>
  <c r="BD46" i="1"/>
  <c r="BF46" i="1" s="1"/>
  <c r="BA46" i="1"/>
  <c r="N46" i="1"/>
  <c r="AD46" i="1" s="1"/>
  <c r="M46" i="1"/>
  <c r="Y46" i="1" s="1"/>
  <c r="B46" i="1"/>
  <c r="BD45" i="1"/>
  <c r="BF45" i="1" s="1"/>
  <c r="BA45" i="1"/>
  <c r="N45" i="1"/>
  <c r="AD45" i="1" s="1"/>
  <c r="M45" i="1"/>
  <c r="Y45" i="1" s="1"/>
  <c r="B45" i="1"/>
  <c r="BD44" i="1"/>
  <c r="BF44" i="1" s="1"/>
  <c r="BA44" i="1"/>
  <c r="N44" i="1"/>
  <c r="AD44" i="1" s="1"/>
  <c r="M44" i="1"/>
  <c r="B44" i="1"/>
  <c r="BD43" i="1"/>
  <c r="BF43" i="1" s="1"/>
  <c r="BA43" i="1"/>
  <c r="N43" i="1"/>
  <c r="AD43" i="1" s="1"/>
  <c r="M43" i="1"/>
  <c r="Y43" i="1" s="1"/>
  <c r="B43" i="1"/>
  <c r="BD42" i="1"/>
  <c r="BF42" i="1" s="1"/>
  <c r="BA42" i="1"/>
  <c r="N42" i="1"/>
  <c r="AD42" i="1" s="1"/>
  <c r="M42" i="1"/>
  <c r="B42" i="1"/>
  <c r="BD41" i="1"/>
  <c r="BF41" i="1" s="1"/>
  <c r="BA41" i="1"/>
  <c r="N41" i="1"/>
  <c r="AD41" i="1" s="1"/>
  <c r="M41" i="1"/>
  <c r="B41" i="1"/>
  <c r="BD40" i="1"/>
  <c r="BF40" i="1" s="1"/>
  <c r="BA40" i="1"/>
  <c r="N40" i="1"/>
  <c r="AD40" i="1" s="1"/>
  <c r="M40" i="1"/>
  <c r="B40" i="1"/>
  <c r="BD39" i="1"/>
  <c r="BF39" i="1" s="1"/>
  <c r="BA39" i="1"/>
  <c r="N39" i="1"/>
  <c r="AD39" i="1" s="1"/>
  <c r="M39" i="1"/>
  <c r="Y39" i="1" s="1"/>
  <c r="B39" i="1"/>
  <c r="BD38" i="1"/>
  <c r="BF38" i="1" s="1"/>
  <c r="BA38" i="1"/>
  <c r="N38" i="1"/>
  <c r="AD38" i="1" s="1"/>
  <c r="M38" i="1"/>
  <c r="B38" i="1"/>
  <c r="BD37" i="1"/>
  <c r="BF37" i="1" s="1"/>
  <c r="BA37" i="1"/>
  <c r="N37" i="1"/>
  <c r="AD37" i="1" s="1"/>
  <c r="M37" i="1"/>
  <c r="B37" i="1"/>
  <c r="BD36" i="1"/>
  <c r="BF36" i="1" s="1"/>
  <c r="BA36" i="1"/>
  <c r="N36" i="1"/>
  <c r="AD36" i="1" s="1"/>
  <c r="M36" i="1"/>
  <c r="Y36" i="1" s="1"/>
  <c r="B36" i="1"/>
  <c r="BD35" i="1"/>
  <c r="BF35" i="1" s="1"/>
  <c r="BA35" i="1"/>
  <c r="N35" i="1"/>
  <c r="AD35" i="1" s="1"/>
  <c r="M35" i="1"/>
  <c r="Y35" i="1" s="1"/>
  <c r="B35" i="1"/>
  <c r="BD34" i="1"/>
  <c r="BF34" i="1" s="1"/>
  <c r="BA34" i="1"/>
  <c r="N34" i="1"/>
  <c r="AD34" i="1" s="1"/>
  <c r="M34" i="1"/>
  <c r="B34" i="1"/>
  <c r="BD33" i="1"/>
  <c r="BF33" i="1" s="1"/>
  <c r="BA33" i="1"/>
  <c r="N33" i="1"/>
  <c r="AD33" i="1" s="1"/>
  <c r="M33" i="1"/>
  <c r="B33" i="1"/>
  <c r="BD32" i="1"/>
  <c r="BF32" i="1" s="1"/>
  <c r="BA32" i="1"/>
  <c r="N32" i="1"/>
  <c r="AD32" i="1" s="1"/>
  <c r="M32" i="1"/>
  <c r="Y32" i="1" s="1"/>
  <c r="B32" i="1"/>
  <c r="BD31" i="1"/>
  <c r="BF31" i="1" s="1"/>
  <c r="BA31" i="1"/>
  <c r="N31" i="1"/>
  <c r="AD31" i="1" s="1"/>
  <c r="M31" i="1"/>
  <c r="B31" i="1"/>
  <c r="BD30" i="1"/>
  <c r="BF30" i="1" s="1"/>
  <c r="BA30" i="1"/>
  <c r="N30" i="1"/>
  <c r="AD30" i="1" s="1"/>
  <c r="M30" i="1"/>
  <c r="B30" i="1"/>
  <c r="BD29" i="1"/>
  <c r="BF29" i="1" s="1"/>
  <c r="BA29" i="1"/>
  <c r="N29" i="1"/>
  <c r="AD29" i="1" s="1"/>
  <c r="M29" i="1"/>
  <c r="Y29" i="1" s="1"/>
  <c r="B29" i="1"/>
  <c r="BD28" i="1"/>
  <c r="BF28" i="1" s="1"/>
  <c r="BA28" i="1"/>
  <c r="N28" i="1"/>
  <c r="AD28" i="1" s="1"/>
  <c r="M28" i="1"/>
  <c r="B28" i="1"/>
  <c r="BD27" i="1"/>
  <c r="BF27" i="1" s="1"/>
  <c r="BA27" i="1"/>
  <c r="N27" i="1"/>
  <c r="AD27" i="1" s="1"/>
  <c r="M27" i="1"/>
  <c r="B27" i="1"/>
  <c r="BD26" i="1"/>
  <c r="BF26" i="1" s="1"/>
  <c r="BA26" i="1"/>
  <c r="N26" i="1"/>
  <c r="AD26" i="1" s="1"/>
  <c r="M26" i="1"/>
  <c r="B26" i="1"/>
  <c r="BD25" i="1"/>
  <c r="BF25" i="1" s="1"/>
  <c r="BA25" i="1"/>
  <c r="N25" i="1"/>
  <c r="AD25" i="1" s="1"/>
  <c r="M25" i="1"/>
  <c r="Y25" i="1" s="1"/>
  <c r="B25" i="1"/>
  <c r="BD24" i="1"/>
  <c r="BF24" i="1" s="1"/>
  <c r="BA24" i="1"/>
  <c r="N24" i="1"/>
  <c r="AD24" i="1" s="1"/>
  <c r="M24" i="1"/>
  <c r="B24" i="1"/>
  <c r="BD23" i="1"/>
  <c r="BF23" i="1" s="1"/>
  <c r="BA23" i="1"/>
  <c r="N23" i="1"/>
  <c r="AD23" i="1" s="1"/>
  <c r="M23" i="1"/>
  <c r="B23" i="1"/>
  <c r="BD22" i="1"/>
  <c r="BF22" i="1" s="1"/>
  <c r="BA22" i="1"/>
  <c r="N22" i="1"/>
  <c r="AD22" i="1" s="1"/>
  <c r="M22" i="1"/>
  <c r="Y22" i="1" s="1"/>
  <c r="B22" i="1"/>
  <c r="BD21" i="1"/>
  <c r="BF21" i="1" s="1"/>
  <c r="BA21" i="1"/>
  <c r="N21" i="1"/>
  <c r="AD21" i="1" s="1"/>
  <c r="M21" i="1"/>
  <c r="B21" i="1"/>
  <c r="BD20" i="1"/>
  <c r="BF20" i="1" s="1"/>
  <c r="BA20" i="1"/>
  <c r="N20" i="1"/>
  <c r="AD20" i="1" s="1"/>
  <c r="M20" i="1"/>
  <c r="B20" i="1"/>
  <c r="BD19" i="1"/>
  <c r="BF19" i="1" s="1"/>
  <c r="BA19" i="1"/>
  <c r="N19" i="1"/>
  <c r="AD19" i="1" s="1"/>
  <c r="M19" i="1"/>
  <c r="B19" i="1"/>
  <c r="BD18" i="1"/>
  <c r="BF18" i="1" s="1"/>
  <c r="BA18" i="1"/>
  <c r="N18" i="1"/>
  <c r="AD18" i="1" s="1"/>
  <c r="M18" i="1"/>
  <c r="B18" i="1"/>
  <c r="BD17" i="1"/>
  <c r="BF17" i="1" s="1"/>
  <c r="BA17" i="1"/>
  <c r="N17" i="1"/>
  <c r="AD17" i="1" s="1"/>
  <c r="M17" i="1"/>
  <c r="B17" i="1"/>
  <c r="BD16" i="1"/>
  <c r="BF16" i="1" s="1"/>
  <c r="BA16" i="1"/>
  <c r="N16" i="1"/>
  <c r="AD16" i="1" s="1"/>
  <c r="M16" i="1"/>
  <c r="Y16" i="1" s="1"/>
  <c r="B16" i="1"/>
  <c r="BD15" i="1"/>
  <c r="BF15" i="1" s="1"/>
  <c r="BA15" i="1"/>
  <c r="N15" i="1"/>
  <c r="AD15" i="1" s="1"/>
  <c r="M15" i="1"/>
  <c r="B15" i="1"/>
  <c r="BD14" i="1"/>
  <c r="BF14" i="1" s="1"/>
  <c r="BA14" i="1"/>
  <c r="N14" i="1"/>
  <c r="AD14" i="1" s="1"/>
  <c r="M14" i="1"/>
  <c r="Y14" i="1" s="1"/>
  <c r="B14" i="1"/>
  <c r="BD13" i="1"/>
  <c r="BF13" i="1" s="1"/>
  <c r="BA13" i="1"/>
  <c r="N13" i="1"/>
  <c r="AD13" i="1" s="1"/>
  <c r="M13" i="1"/>
  <c r="B13" i="1"/>
  <c r="BD12" i="1"/>
  <c r="BF12" i="1" s="1"/>
  <c r="BA12" i="1"/>
  <c r="N12" i="1"/>
  <c r="AD12" i="1" s="1"/>
  <c r="M12" i="1"/>
  <c r="B12" i="1"/>
  <c r="BD11" i="1"/>
  <c r="BF11" i="1" s="1"/>
  <c r="BA11" i="1"/>
  <c r="N11" i="1"/>
  <c r="M11" i="1"/>
  <c r="B11" i="1"/>
  <c r="BD10" i="1"/>
  <c r="BF10" i="1" s="1"/>
  <c r="BA10" i="1"/>
  <c r="N10" i="1"/>
  <c r="M10" i="1"/>
  <c r="B10" i="1"/>
  <c r="BD9" i="1"/>
  <c r="BF9" i="1" s="1"/>
  <c r="BA9" i="1"/>
  <c r="N9" i="1"/>
  <c r="AD9" i="1" s="1"/>
  <c r="M9" i="1"/>
  <c r="B9" i="1"/>
  <c r="BD8" i="1"/>
  <c r="BF8" i="1" s="1"/>
  <c r="BA8" i="1"/>
  <c r="N8" i="1"/>
  <c r="M8" i="1"/>
  <c r="B8" i="1"/>
  <c r="BD7" i="1"/>
  <c r="BF7" i="1" s="1"/>
  <c r="BA7" i="1"/>
  <c r="N7" i="1"/>
  <c r="AD7" i="1" s="1"/>
  <c r="M7" i="1"/>
  <c r="Y7" i="1" s="1"/>
  <c r="B7" i="1"/>
  <c r="BD6" i="1"/>
  <c r="BF6" i="1" s="1"/>
  <c r="BA6" i="1"/>
  <c r="N6" i="1"/>
  <c r="AD6" i="1" s="1"/>
  <c r="M6" i="1"/>
  <c r="B6" i="1"/>
  <c r="BD5" i="1"/>
  <c r="BF5" i="1" s="1"/>
  <c r="BA5" i="1"/>
  <c r="N5" i="1"/>
  <c r="M5" i="1"/>
  <c r="B5" i="1"/>
  <c r="BD4" i="1"/>
  <c r="BF4" i="1" s="1"/>
  <c r="BA4" i="1"/>
  <c r="N4" i="1"/>
  <c r="AD4" i="1" s="1"/>
  <c r="M4" i="1"/>
  <c r="Y4" i="1" s="1"/>
  <c r="B4" i="1"/>
  <c r="BD3" i="1"/>
  <c r="BF3" i="1" s="1"/>
  <c r="BA3" i="1"/>
  <c r="N3" i="1"/>
  <c r="AD3" i="1" s="1"/>
  <c r="M3" i="1"/>
  <c r="Y3" i="1" s="1"/>
  <c r="B3" i="1"/>
  <c r="BD2" i="1"/>
  <c r="BF2" i="1" s="1"/>
  <c r="BA2" i="1"/>
  <c r="N2" i="1"/>
  <c r="M2" i="1"/>
  <c r="Y2" i="1" s="1"/>
  <c r="B2" i="1"/>
  <c r="BD1" i="1"/>
  <c r="BF1" i="1" s="1"/>
  <c r="BA1" i="1"/>
  <c r="N1" i="1"/>
  <c r="M1" i="1"/>
  <c r="Y1" i="1" s="1"/>
  <c r="B1" i="1"/>
  <c r="AD69" i="1" l="1"/>
  <c r="O69" i="1"/>
  <c r="AD2" i="1"/>
  <c r="O2" i="1"/>
  <c r="AD10" i="1"/>
  <c r="O10" i="1"/>
  <c r="AD60" i="1"/>
  <c r="O60" i="1"/>
  <c r="O5" i="1"/>
  <c r="AD5" i="1"/>
  <c r="O8" i="1"/>
  <c r="AD8" i="1"/>
  <c r="O11" i="1"/>
  <c r="AD11" i="1"/>
  <c r="O95" i="1"/>
  <c r="AD95" i="1"/>
  <c r="O23" i="1"/>
  <c r="O29" i="1"/>
  <c r="O35" i="1"/>
  <c r="O41" i="1"/>
  <c r="O47" i="1"/>
  <c r="O53" i="1"/>
  <c r="O59" i="1"/>
  <c r="O65" i="1"/>
  <c r="O71" i="1"/>
  <c r="O77" i="1"/>
  <c r="O83" i="1"/>
  <c r="O89" i="1"/>
  <c r="O17" i="1"/>
  <c r="BG1" i="1"/>
  <c r="BG2" i="1"/>
  <c r="BG3" i="1"/>
  <c r="BG4" i="1"/>
  <c r="BG5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53" i="1"/>
  <c r="BG54" i="1"/>
  <c r="BG55" i="1"/>
  <c r="BG56" i="1"/>
  <c r="BG57" i="1"/>
  <c r="BG58" i="1"/>
  <c r="BG59" i="1"/>
  <c r="BG60" i="1"/>
  <c r="BG61" i="1"/>
  <c r="BG62" i="1"/>
  <c r="BG63" i="1"/>
  <c r="BG64" i="1"/>
  <c r="BG65" i="1"/>
  <c r="BG66" i="1"/>
  <c r="BG67" i="1"/>
  <c r="BG68" i="1"/>
  <c r="BG69" i="1"/>
  <c r="BG70" i="1"/>
  <c r="BG71" i="1"/>
  <c r="BG72" i="1"/>
  <c r="BG73" i="1"/>
  <c r="BG74" i="1"/>
  <c r="BG75" i="1"/>
  <c r="BG76" i="1"/>
  <c r="BG77" i="1"/>
  <c r="BG78" i="1"/>
  <c r="BG79" i="1"/>
  <c r="BG80" i="1"/>
  <c r="BG81" i="1"/>
  <c r="BG82" i="1"/>
  <c r="BG83" i="1"/>
  <c r="BG84" i="1"/>
  <c r="BG85" i="1"/>
  <c r="BG86" i="1"/>
  <c r="BG87" i="1"/>
  <c r="BG88" i="1"/>
  <c r="BG89" i="1"/>
  <c r="BG90" i="1"/>
  <c r="BG91" i="1"/>
  <c r="BG92" i="1"/>
  <c r="BG93" i="1"/>
  <c r="BG94" i="1"/>
  <c r="BG95" i="1"/>
  <c r="AI69" i="1" l="1"/>
  <c r="AN69" i="1"/>
  <c r="AI17" i="1"/>
  <c r="AN17" i="1"/>
  <c r="AI83" i="1"/>
  <c r="AN83" i="1"/>
  <c r="AI71" i="1"/>
  <c r="AN71" i="1"/>
  <c r="AI59" i="1"/>
  <c r="AN59" i="1"/>
  <c r="AI47" i="1"/>
  <c r="AN47" i="1"/>
  <c r="AI35" i="1"/>
  <c r="AN35" i="1"/>
  <c r="AI23" i="1"/>
  <c r="AN23" i="1"/>
  <c r="AI95" i="1"/>
  <c r="AN95" i="1"/>
  <c r="AI11" i="1"/>
  <c r="AN11" i="1"/>
  <c r="AI8" i="1"/>
  <c r="AN8" i="1"/>
  <c r="AI5" i="1"/>
  <c r="AN5" i="1"/>
  <c r="AI89" i="1"/>
  <c r="AN89" i="1"/>
  <c r="AI77" i="1"/>
  <c r="AN77" i="1"/>
  <c r="AI65" i="1"/>
  <c r="AN65" i="1"/>
  <c r="AI53" i="1"/>
  <c r="AN53" i="1"/>
  <c r="AI41" i="1"/>
  <c r="AN41" i="1"/>
  <c r="AI29" i="1"/>
  <c r="AN29" i="1"/>
  <c r="AI60" i="1"/>
  <c r="AN60" i="1"/>
  <c r="AI10" i="1"/>
  <c r="AN10" i="1"/>
  <c r="AI2" i="1"/>
  <c r="AN2" i="1"/>
</calcChain>
</file>

<file path=xl/comments1.xml><?xml version="1.0" encoding="utf-8"?>
<comments xmlns="http://schemas.openxmlformats.org/spreadsheetml/2006/main">
  <authors>
    <author>Tien Le Anh</author>
  </authors>
  <commentList>
    <comment ref="C13" authorId="0" shapeId="0">
      <text>
        <r>
          <rPr>
            <b/>
            <sz val="9"/>
            <color indexed="81"/>
            <rFont val="Tahoma"/>
          </rPr>
          <t>Tien Le Anh:</t>
        </r>
        <r>
          <rPr>
            <sz val="9"/>
            <color indexed="81"/>
            <rFont val="Tahoma"/>
          </rPr>
          <t xml:space="preserve">
Vướng điện lực không cho làm cho gần cột 500kv 80m</t>
        </r>
      </text>
    </comment>
    <comment ref="C15" authorId="0" shapeId="0">
      <text>
        <r>
          <rPr>
            <b/>
            <sz val="9"/>
            <color indexed="81"/>
            <rFont val="Tahoma"/>
          </rPr>
          <t>Tien Le Anh:</t>
        </r>
        <r>
          <rPr>
            <sz val="9"/>
            <color indexed="81"/>
            <rFont val="Tahoma"/>
          </rPr>
          <t xml:space="preserve">
Chuyển vị trí do chủ nhà hủy hợp đồng, 2 ngày ký lại</t>
        </r>
      </text>
    </comment>
    <comment ref="C18" authorId="0" shapeId="0">
      <text>
        <r>
          <rPr>
            <b/>
            <sz val="9"/>
            <color indexed="81"/>
            <rFont val="Tahoma"/>
          </rPr>
          <t>Tien Le Anh:</t>
        </r>
        <r>
          <rPr>
            <sz val="9"/>
            <color indexed="81"/>
            <rFont val="Tahoma"/>
          </rPr>
          <t xml:space="preserve">
Vướng hợp đồng thuê</t>
        </r>
      </text>
    </comment>
    <comment ref="C19" authorId="0" shapeId="0">
      <text>
        <r>
          <rPr>
            <b/>
            <sz val="9"/>
            <color indexed="81"/>
            <rFont val="Tahoma"/>
          </rPr>
          <t>Tien Le Anh:</t>
        </r>
        <r>
          <rPr>
            <sz val="9"/>
            <color indexed="81"/>
            <rFont val="Tahoma"/>
          </rPr>
          <t xml:space="preserve">
Chủ nhà hủy hợp đồng, phải chuyển vị trí</t>
        </r>
      </text>
    </comment>
    <comment ref="Q39" authorId="0" shapeId="0">
      <text>
        <r>
          <rPr>
            <b/>
            <sz val="9"/>
            <color indexed="81"/>
            <rFont val="Tahoma"/>
            <family val="2"/>
          </rPr>
          <t>Tien Le Anh:</t>
        </r>
        <r>
          <rPr>
            <sz val="9"/>
            <color indexed="81"/>
            <rFont val="Tahoma"/>
            <family val="2"/>
          </rPr>
          <t xml:space="preserve">
CS</t>
        </r>
      </text>
    </comment>
    <comment ref="C48" authorId="0" shapeId="0">
      <text>
        <r>
          <rPr>
            <b/>
            <sz val="9"/>
            <color indexed="81"/>
            <rFont val="Tahoma"/>
            <family val="2"/>
          </rPr>
          <t>Tien Le Anh:</t>
        </r>
        <r>
          <rPr>
            <sz val="9"/>
            <color indexed="81"/>
            <rFont val="Tahoma"/>
            <family val="2"/>
          </rPr>
          <t xml:space="preserve">
PYN099-11</t>
        </r>
      </text>
    </comment>
    <comment ref="C50" authorId="0" shapeId="0">
      <text>
        <r>
          <rPr>
            <b/>
            <sz val="9"/>
            <color indexed="81"/>
            <rFont val="Tahoma"/>
          </rPr>
          <t>Tien Le Anh:</t>
        </r>
        <r>
          <rPr>
            <sz val="9"/>
            <color indexed="81"/>
            <rFont val="Tahoma"/>
          </rPr>
          <t xml:space="preserve">
Đường lầy lội không vào được
</t>
        </r>
      </text>
    </comment>
    <comment ref="C78" authorId="0" shapeId="0">
      <text>
        <r>
          <rPr>
            <b/>
            <sz val="9"/>
            <color indexed="81"/>
            <rFont val="Tahoma"/>
          </rPr>
          <t>Tien Le Anh:</t>
        </r>
        <r>
          <rPr>
            <sz val="9"/>
            <color indexed="81"/>
            <rFont val="Tahoma"/>
          </rPr>
          <t xml:space="preserve">
Lắp xong cột, xong nhà, chưa cấp TB, chưa hạ bình BA, chưa có nhà máy nổ</t>
        </r>
      </text>
    </comment>
    <comment ref="C79" authorId="0" shapeId="0">
      <text>
        <r>
          <rPr>
            <b/>
            <sz val="9"/>
            <color indexed="81"/>
            <rFont val="Tahoma"/>
          </rPr>
          <t>Tien Le Anh:
Lắp xong TB, xong viba, đã có PIN MT, chưa có nhà máy nổ</t>
        </r>
      </text>
    </comment>
  </commentList>
</comments>
</file>

<file path=xl/sharedStrings.xml><?xml version="1.0" encoding="utf-8"?>
<sst xmlns="http://schemas.openxmlformats.org/spreadsheetml/2006/main" count="1138" uniqueCount="345">
  <si>
    <t>Trên mái</t>
  </si>
  <si>
    <t>Dưới đất</t>
  </si>
  <si>
    <t>Đồng bằng</t>
  </si>
  <si>
    <t>CS</t>
  </si>
  <si>
    <t>Vướng GPXD</t>
  </si>
  <si>
    <t>Vướng kiện</t>
  </si>
  <si>
    <t>Cấp tại tỉnh</t>
  </si>
  <si>
    <t>Hàng về kho Tỉnh chưa kịp cấp cho ĐVTC</t>
  </si>
  <si>
    <t>Chưa có đội triển khai</t>
  </si>
  <si>
    <t>Có triển khai nhưng không đủ nhân công</t>
  </si>
  <si>
    <t>Cóc</t>
  </si>
  <si>
    <t>Cont</t>
  </si>
  <si>
    <t>DC mini</t>
  </si>
  <si>
    <t>Xây</t>
  </si>
  <si>
    <t>Minishelter</t>
  </si>
  <si>
    <t>LAM SON</t>
  </si>
  <si>
    <t>UQ</t>
  </si>
  <si>
    <t>CTCT</t>
  </si>
  <si>
    <t>BTLT</t>
  </si>
  <si>
    <t>Chưa đảm bảo VT(bulong mặt bích)</t>
  </si>
  <si>
    <t>Cải tạo</t>
  </si>
  <si>
    <t>BDH0588</t>
  </si>
  <si>
    <t>BDH0019-12</t>
  </si>
  <si>
    <t>BDH0618</t>
  </si>
  <si>
    <t>BDH0322-11</t>
  </si>
  <si>
    <t>BTN0484-11</t>
  </si>
  <si>
    <t>BTN0151-11</t>
  </si>
  <si>
    <t>BTN0048-11</t>
  </si>
  <si>
    <t>BTN0089-11</t>
  </si>
  <si>
    <t>BTN0217-11</t>
  </si>
  <si>
    <t>BTN0088-11</t>
  </si>
  <si>
    <t>DCN0122-11</t>
  </si>
  <si>
    <t>DCN0023-11</t>
  </si>
  <si>
    <t>DLK0692</t>
  </si>
  <si>
    <t>DLK0705</t>
  </si>
  <si>
    <t>DLK0055-11</t>
  </si>
  <si>
    <t>DLK0197-11</t>
  </si>
  <si>
    <t>DLK0208-11</t>
  </si>
  <si>
    <t>DLK0269-11</t>
  </si>
  <si>
    <t>DLK0371-11</t>
  </si>
  <si>
    <t>DNG0582</t>
  </si>
  <si>
    <t>DNG0585</t>
  </si>
  <si>
    <t>DNG0586</t>
  </si>
  <si>
    <t>DNG0589</t>
  </si>
  <si>
    <t>DNG0444</t>
  </si>
  <si>
    <t>GLI0184-11</t>
  </si>
  <si>
    <t>GLI0020-11</t>
  </si>
  <si>
    <t>GLI0023-11</t>
  </si>
  <si>
    <t>GLI0190-11</t>
  </si>
  <si>
    <t>GLI0632</t>
  </si>
  <si>
    <t>KHA0518</t>
  </si>
  <si>
    <t>KHA0526</t>
  </si>
  <si>
    <t>KHA0614</t>
  </si>
  <si>
    <t>KHA0078-11</t>
  </si>
  <si>
    <t>KHA0461-11</t>
  </si>
  <si>
    <t>KTM0310</t>
  </si>
  <si>
    <t>KTM0088-12</t>
  </si>
  <si>
    <t>KTM0080-11</t>
  </si>
  <si>
    <t>KTM0075-11</t>
  </si>
  <si>
    <t>LDG0700</t>
  </si>
  <si>
    <t>LDG0702</t>
  </si>
  <si>
    <t>LDGA008</t>
  </si>
  <si>
    <t>NTN0238</t>
  </si>
  <si>
    <t>NTN0039-11</t>
  </si>
  <si>
    <t>NTN0106-11</t>
  </si>
  <si>
    <t>PYN0014-11</t>
  </si>
  <si>
    <t>PYN0056-11</t>
  </si>
  <si>
    <t>PYN3955-11</t>
  </si>
  <si>
    <t>PYN0070-11</t>
  </si>
  <si>
    <t>QNI0533</t>
  </si>
  <si>
    <t>QNI0352-11</t>
  </si>
  <si>
    <t>QNI0057-11</t>
  </si>
  <si>
    <t>QNI0363-11</t>
  </si>
  <si>
    <t>QNM0668</t>
  </si>
  <si>
    <t>QNM0678</t>
  </si>
  <si>
    <t>QNM0339-11</t>
  </si>
  <si>
    <t>QNM0045-11</t>
  </si>
  <si>
    <t>QNM0347-11</t>
  </si>
  <si>
    <t>QNM0300-11</t>
  </si>
  <si>
    <t>QNM0397-11</t>
  </si>
  <si>
    <t>QNM0745</t>
  </si>
  <si>
    <t>QNMA061</t>
  </si>
  <si>
    <t>QTI0044-11</t>
  </si>
  <si>
    <t>QTI0285-11</t>
  </si>
  <si>
    <t>QTI0045-11</t>
  </si>
  <si>
    <t>QTI0090-11</t>
  </si>
  <si>
    <t>QTI0084-11</t>
  </si>
  <si>
    <t>TTH0468</t>
  </si>
  <si>
    <t>TTH0105-11</t>
  </si>
  <si>
    <t>TTH0492-12</t>
  </si>
  <si>
    <t>PS T12</t>
  </si>
  <si>
    <t>BDH0424</t>
  </si>
  <si>
    <t>BTN9708</t>
  </si>
  <si>
    <t>BTN0437</t>
  </si>
  <si>
    <t>BTN0535</t>
  </si>
  <si>
    <t>BTN0560</t>
  </si>
  <si>
    <t>BTN0561</t>
  </si>
  <si>
    <t>BTN0557</t>
  </si>
  <si>
    <t>DCN0181-11</t>
  </si>
  <si>
    <t>DLK0557</t>
  </si>
  <si>
    <t>DLK0664</t>
  </si>
  <si>
    <t>DLK0696</t>
  </si>
  <si>
    <t>DLK0704</t>
  </si>
  <si>
    <t>DNG0583</t>
  </si>
  <si>
    <t>GLI0633</t>
  </si>
  <si>
    <t>KHA0523</t>
  </si>
  <si>
    <t>KHA0610</t>
  </si>
  <si>
    <t>KHA0608</t>
  </si>
  <si>
    <t>KTM0311</t>
  </si>
  <si>
    <t>KTM0072-11</t>
  </si>
  <si>
    <t>LDG0661</t>
  </si>
  <si>
    <t>NTN0133-11</t>
  </si>
  <si>
    <t>NTN0243</t>
  </si>
  <si>
    <t>QTI0408</t>
  </si>
  <si>
    <t>QTI0410</t>
  </si>
  <si>
    <t>TTH0152-12</t>
  </si>
  <si>
    <t>TTH0543</t>
  </si>
  <si>
    <t>TTHA001</t>
  </si>
  <si>
    <t>XD T12</t>
  </si>
  <si>
    <t>Cột có sẵn, tủ minishelter</t>
  </si>
  <si>
    <t>KHÁNH TRÀ</t>
  </si>
  <si>
    <t>Minh Ngọc</t>
  </si>
  <si>
    <t>Hapulico</t>
  </si>
  <si>
    <t>Tự đứng</t>
  </si>
  <si>
    <t>3BH019R2</t>
  </si>
  <si>
    <t>3BH618</t>
  </si>
  <si>
    <t>3BT484R</t>
  </si>
  <si>
    <t>3BT151R</t>
  </si>
  <si>
    <t>BTN048R</t>
  </si>
  <si>
    <t>BTN089R</t>
  </si>
  <si>
    <t>3BT217R</t>
  </si>
  <si>
    <t>3BT088R</t>
  </si>
  <si>
    <t>3DC122R</t>
  </si>
  <si>
    <t>DCN023R</t>
  </si>
  <si>
    <t>3DL692</t>
  </si>
  <si>
    <t>DLK705</t>
  </si>
  <si>
    <t>3DL055R</t>
  </si>
  <si>
    <t>3DL197R</t>
  </si>
  <si>
    <t>3DL208R</t>
  </si>
  <si>
    <t>3DL269R</t>
  </si>
  <si>
    <t>3DL371R</t>
  </si>
  <si>
    <t>3DN582</t>
  </si>
  <si>
    <t>3DN585</t>
  </si>
  <si>
    <t>3DN586</t>
  </si>
  <si>
    <t>3DN589</t>
  </si>
  <si>
    <t>3DN444</t>
  </si>
  <si>
    <t>3GL184R</t>
  </si>
  <si>
    <t>3GL020R</t>
  </si>
  <si>
    <t>3GL023R</t>
  </si>
  <si>
    <t>3GL190R</t>
  </si>
  <si>
    <t>GLI622</t>
  </si>
  <si>
    <t>3KH518</t>
  </si>
  <si>
    <t>3KH526</t>
  </si>
  <si>
    <t>KHA614</t>
  </si>
  <si>
    <t>3KH078P</t>
  </si>
  <si>
    <t>3KH461P</t>
  </si>
  <si>
    <t>KTM310</t>
  </si>
  <si>
    <t>KTM088R1</t>
  </si>
  <si>
    <t>KTM080R</t>
  </si>
  <si>
    <t>KTM075R</t>
  </si>
  <si>
    <t>LDG700</t>
  </si>
  <si>
    <t>3LD702</t>
  </si>
  <si>
    <t>NTN238</t>
  </si>
  <si>
    <t>NTA003</t>
  </si>
  <si>
    <t>3NT106R</t>
  </si>
  <si>
    <t>3PY014R</t>
  </si>
  <si>
    <t>3PY056R</t>
  </si>
  <si>
    <t>3PY955R</t>
  </si>
  <si>
    <t>3QI533</t>
  </si>
  <si>
    <t>QNI352R</t>
  </si>
  <si>
    <t>QNI057R</t>
  </si>
  <si>
    <t>QNI363R</t>
  </si>
  <si>
    <t>3QM668</t>
  </si>
  <si>
    <t>3QM678</t>
  </si>
  <si>
    <t>3QM339P</t>
  </si>
  <si>
    <t>3QM045R</t>
  </si>
  <si>
    <t>QNM347R</t>
  </si>
  <si>
    <t>3QM300R</t>
  </si>
  <si>
    <t>3QM397R</t>
  </si>
  <si>
    <t>3QM745</t>
  </si>
  <si>
    <t>QMA061</t>
  </si>
  <si>
    <t>QTI044R</t>
  </si>
  <si>
    <t>QTI045R</t>
  </si>
  <si>
    <t>QTI090R</t>
  </si>
  <si>
    <t>QTI084R</t>
  </si>
  <si>
    <t>3TT468</t>
  </si>
  <si>
    <t>TTH105R</t>
  </si>
  <si>
    <t>TTH492R</t>
  </si>
  <si>
    <t>BDH424</t>
  </si>
  <si>
    <t>3BT501</t>
  </si>
  <si>
    <t>3BT437</t>
  </si>
  <si>
    <t>3BT535</t>
  </si>
  <si>
    <t>3BT561</t>
  </si>
  <si>
    <t>3BT557</t>
  </si>
  <si>
    <t>DCN181R</t>
  </si>
  <si>
    <t>DLK557</t>
  </si>
  <si>
    <t>DLK664</t>
  </si>
  <si>
    <t>3DL696</t>
  </si>
  <si>
    <t>DLK704</t>
  </si>
  <si>
    <t>3DN583</t>
  </si>
  <si>
    <t>GLI633</t>
  </si>
  <si>
    <t>KHA523</t>
  </si>
  <si>
    <t>3KH610</t>
  </si>
  <si>
    <t>3KH608</t>
  </si>
  <si>
    <t>KTM311</t>
  </si>
  <si>
    <t>KTM072R</t>
  </si>
  <si>
    <t>3LD661</t>
  </si>
  <si>
    <t>NTN133R</t>
  </si>
  <si>
    <t>3NT243</t>
  </si>
  <si>
    <t>QTI408</t>
  </si>
  <si>
    <t>QTI410</t>
  </si>
  <si>
    <t>3TT152R</t>
  </si>
  <si>
    <t>TTH543</t>
  </si>
  <si>
    <t>TTA001</t>
  </si>
  <si>
    <t>Miền núi</t>
  </si>
  <si>
    <t>Smallcell</t>
  </si>
  <si>
    <t>GLI0302-11</t>
  </si>
  <si>
    <t>KHA0474-11</t>
  </si>
  <si>
    <t>KHA0624</t>
  </si>
  <si>
    <t>KHA0625</t>
  </si>
  <si>
    <t>KHA0623</t>
  </si>
  <si>
    <t>KHA0154-11</t>
  </si>
  <si>
    <t>KHA0629</t>
  </si>
  <si>
    <t>KHA0628</t>
  </si>
  <si>
    <t>KHA0619</t>
  </si>
  <si>
    <t>KHA0412-11</t>
  </si>
  <si>
    <t>KHA0473-11</t>
  </si>
  <si>
    <t>KHA0026-11</t>
  </si>
  <si>
    <t>KHA0078-12</t>
  </si>
  <si>
    <t>KTM0017-11</t>
  </si>
  <si>
    <t>KTM0009-11</t>
  </si>
  <si>
    <t>NTN0244</t>
  </si>
  <si>
    <t>NTN0060-11</t>
  </si>
  <si>
    <t>NTN0055-11</t>
  </si>
  <si>
    <t>NTN0242</t>
  </si>
  <si>
    <t>NTN0083-11</t>
  </si>
  <si>
    <t>NTN0246</t>
  </si>
  <si>
    <t>QNM0750</t>
  </si>
  <si>
    <t>QNM0035-11</t>
  </si>
  <si>
    <t>QNM0123-11</t>
  </si>
  <si>
    <t>QNM0130-11</t>
  </si>
  <si>
    <t>QNM0108-12</t>
  </si>
  <si>
    <t>QNM3972</t>
  </si>
  <si>
    <t>NTN_NSN_Smallcell</t>
  </si>
  <si>
    <t>NTN0226</t>
  </si>
  <si>
    <t>NTN_NPC_Smallcell</t>
  </si>
  <si>
    <t>NTN_NPC_New_Site</t>
  </si>
  <si>
    <t>NTN0007-11</t>
  </si>
  <si>
    <t>PYN0334</t>
  </si>
  <si>
    <t>PYN_DHA_New_Site01</t>
  </si>
  <si>
    <t>KHA_NHA_New_Site01</t>
  </si>
  <si>
    <t>KHA0155-11</t>
  </si>
  <si>
    <t>KHA_NHA_New_Site02</t>
  </si>
  <si>
    <t>KHA0122-11</t>
  </si>
  <si>
    <t>GLI_RRU_01</t>
  </si>
  <si>
    <t>GLI_RRU_02</t>
  </si>
  <si>
    <t>GLI_RRU_03</t>
  </si>
  <si>
    <t>GLI_RRU_06</t>
  </si>
  <si>
    <t>GLI_RRU_07</t>
  </si>
  <si>
    <t>GLI_SMC_10</t>
  </si>
  <si>
    <t>GLI_Site_01</t>
  </si>
  <si>
    <t>GLI_RRU_08</t>
  </si>
  <si>
    <t>GLI_RRU_09</t>
  </si>
  <si>
    <t>KHA_Site_01</t>
  </si>
  <si>
    <t>KHA_Site_02</t>
  </si>
  <si>
    <t>KHA0158-11</t>
  </si>
  <si>
    <t>QNM_SMA_001</t>
  </si>
  <si>
    <t>QNM_RRU_001</t>
  </si>
  <si>
    <t>QNMA049</t>
  </si>
  <si>
    <t>QNM_RRU_002</t>
  </si>
  <si>
    <t>QNM_NEWSITE_001</t>
  </si>
  <si>
    <t>QNM_NEWSITE_002</t>
  </si>
  <si>
    <t>QNM0020</t>
  </si>
  <si>
    <t>QNM_NEWSITE_003</t>
  </si>
  <si>
    <t>QNM0054</t>
  </si>
  <si>
    <t>QNM_RRU_003</t>
  </si>
  <si>
    <t>DLK_EHO_SmallCell_02</t>
  </si>
  <si>
    <t>DLK_EHO_RRU_01</t>
  </si>
  <si>
    <t>DLK_EHO_RRU_03</t>
  </si>
  <si>
    <t>QNM_NTH_RRU_01</t>
  </si>
  <si>
    <t>QNM_NTH_RRU_02</t>
  </si>
  <si>
    <t>QNM_NTH_RRU_03</t>
  </si>
  <si>
    <t>QNM_NTH_RRU_04</t>
  </si>
  <si>
    <t>QNM_NTH_SmallCell_01</t>
  </si>
  <si>
    <t>QNM_NTH_SmallCell_02</t>
  </si>
  <si>
    <t>QNM_NTH_SmallCell_03</t>
  </si>
  <si>
    <t>QNM_NTH_SmallCell_04</t>
  </si>
  <si>
    <t>QNM_NTH_SmallCell_05</t>
  </si>
  <si>
    <t>QNM_NTH_SmallCell_06</t>
  </si>
  <si>
    <t>KTM0088-11</t>
  </si>
  <si>
    <t>KTM_KRY_RRU_01</t>
  </si>
  <si>
    <t>KTM_KRY_RRU_02</t>
  </si>
  <si>
    <t>KTM0100</t>
  </si>
  <si>
    <t>KTM_NHI_SmallCell_01</t>
  </si>
  <si>
    <t>KTM_NHI_SmallCell_02</t>
  </si>
  <si>
    <t>KTM_NHI_SmallCell_04</t>
  </si>
  <si>
    <t>KTM_NHI_SmallCell_05</t>
  </si>
  <si>
    <t>DLK_BDN_RRU_03</t>
  </si>
  <si>
    <t>DLK_BDN_Site_02</t>
  </si>
  <si>
    <t>DLK_MDK_RRU_01</t>
  </si>
  <si>
    <t>DLK_MDK_RRU_02</t>
  </si>
  <si>
    <t>DLK_MDK_SmallCell_01</t>
  </si>
  <si>
    <t>NTA001</t>
  </si>
  <si>
    <t>NTN226</t>
  </si>
  <si>
    <t>NTA002</t>
  </si>
  <si>
    <t>NTN_New_Site01</t>
  </si>
  <si>
    <t>NTN0007P</t>
  </si>
  <si>
    <t>PYN334</t>
  </si>
  <si>
    <t>KHA155P</t>
  </si>
  <si>
    <t>KHA122P</t>
  </si>
  <si>
    <t>RRU_01</t>
  </si>
  <si>
    <t>RRU_02</t>
  </si>
  <si>
    <t>RRU_03</t>
  </si>
  <si>
    <t>RRU_06</t>
  </si>
  <si>
    <t>RRU_07</t>
  </si>
  <si>
    <t>SMC_10</t>
  </si>
  <si>
    <t>RRU_08</t>
  </si>
  <si>
    <t>RRU_09</t>
  </si>
  <si>
    <t>RRU_10</t>
  </si>
  <si>
    <t>Site_01</t>
  </si>
  <si>
    <t>Site_02</t>
  </si>
  <si>
    <t>KHA158P</t>
  </si>
  <si>
    <t>QMA049</t>
  </si>
  <si>
    <t>3QM0202</t>
  </si>
  <si>
    <t>3QM054</t>
  </si>
  <si>
    <t>3KT088R</t>
  </si>
  <si>
    <t>3KT100</t>
  </si>
  <si>
    <t>ĐNPS_Thua đối thủ</t>
  </si>
  <si>
    <t>ĐX mới_Thua đối thủ</t>
  </si>
  <si>
    <t>Chưa giao ĐVTC</t>
  </si>
  <si>
    <t>ok</t>
  </si>
  <si>
    <t>cs</t>
  </si>
  <si>
    <t>B cấp</t>
  </si>
  <si>
    <t>bê tông</t>
  </si>
  <si>
    <t>Mưa triển khai chậm</t>
  </si>
  <si>
    <t>Mưa, ngập nước, đường lầy lội</t>
  </si>
  <si>
    <t>Vướng hợp đồng thuê</t>
  </si>
  <si>
    <t>Chưa có hợp đồng</t>
  </si>
  <si>
    <t>Chưa có thiết kế</t>
  </si>
  <si>
    <t>Chưa có NN</t>
  </si>
  <si>
    <t>LAM SƠN nhận MB, Đào móng cột, móng nhà</t>
  </si>
  <si>
    <t>Đào móng, đã giải quyết xong, CTCT tiếp tục thi công, Đào xong móng cột, móng nhà. Đổ bê tông móng cột</t>
  </si>
  <si>
    <t>Đang tập kết vật tư, đang gia công sắt</t>
  </si>
  <si>
    <t>Lam sơn nhận MB Đã đỗ xong  các móng M0,M1,M2,M3,M4: P.HT đang làm phiếu cấp cột</t>
  </si>
  <si>
    <t xml:space="preserve">asd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</si>
</sst>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rgb="FF000000"/>
      <name val="Times New Roman"/>
      <family val="1"/>
      <charset val="163"/>
    </font>
    <font>
      <sz val="10"/>
      <name val="Times New Roman"/>
      <family val="1"/>
      <charset val="163"/>
    </font>
    <font>
      <sz val="10"/>
      <color theme="1"/>
      <name val="Times New Roman"/>
      <family val="1"/>
      <charset val="163"/>
    </font>
    <font>
      <sz val="11"/>
      <color theme="1"/>
      <name val="Calibri"/>
      <family val="2"/>
      <charset val="163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9"/>
      <color rgb="FF000000"/>
      <name val="Times New Roman"/>
      <family val="1"/>
    </font>
    <font>
      <sz val="9"/>
      <color indexed="81"/>
      <name val="Tahoma"/>
    </font>
    <font>
      <b/>
      <sz val="9"/>
      <color indexed="81"/>
      <name val="Tahoma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/>
  </cellStyleXfs>
  <cellXfs count="50">
    <xf numFmtId="0" fontId="0" fillId="0" borderId="0" xfId="0"/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5" fillId="0" borderId="1" xfId="2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/>
    <xf numFmtId="14" fontId="2" fillId="0" borderId="1" xfId="1" applyNumberFormat="1" applyFont="1" applyFill="1" applyBorder="1"/>
    <xf numFmtId="14" fontId="2" fillId="0" borderId="1" xfId="0" applyNumberFormat="1" applyFont="1" applyFill="1" applyBorder="1"/>
    <xf numFmtId="1" fontId="2" fillId="0" borderId="1" xfId="0" applyNumberFormat="1" applyFont="1" applyFill="1" applyBorder="1"/>
    <xf numFmtId="0" fontId="2" fillId="0" borderId="0" xfId="0" applyFont="1" applyFill="1"/>
    <xf numFmtId="43" fontId="2" fillId="0" borderId="1" xfId="1" applyFont="1" applyFill="1" applyBorder="1"/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1" xfId="0" applyFont="1" applyBorder="1"/>
    <xf numFmtId="0" fontId="9" fillId="2" borderId="1" xfId="0" applyFont="1" applyFill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0" fontId="9" fillId="0" borderId="1" xfId="0" applyFont="1" applyFill="1" applyBorder="1" applyAlignment="1">
      <alignment vertical="center"/>
    </xf>
    <xf numFmtId="0" fontId="10" fillId="0" borderId="1" xfId="0" applyFont="1" applyBorder="1" applyAlignment="1"/>
    <xf numFmtId="164" fontId="2" fillId="0" borderId="1" xfId="1" applyNumberFormat="1" applyFont="1" applyFill="1" applyBorder="1"/>
    <xf numFmtId="2" fontId="2" fillId="0" borderId="1" xfId="1" applyNumberFormat="1" applyFont="1" applyFill="1" applyBorder="1"/>
    <xf numFmtId="0" fontId="2" fillId="0" borderId="2" xfId="0" applyFont="1" applyFill="1" applyBorder="1"/>
    <xf numFmtId="0" fontId="2" fillId="0" borderId="2" xfId="0" applyFont="1" applyFill="1" applyBorder="1" applyAlignment="1">
      <alignment horizontal="left"/>
    </xf>
    <xf numFmtId="14" fontId="2" fillId="0" borderId="2" xfId="1" applyNumberFormat="1" applyFont="1" applyFill="1" applyBorder="1"/>
    <xf numFmtId="164" fontId="2" fillId="0" borderId="2" xfId="1" applyNumberFormat="1" applyFont="1" applyFill="1" applyBorder="1"/>
    <xf numFmtId="14" fontId="2" fillId="0" borderId="2" xfId="0" applyNumberFormat="1" applyFont="1" applyFill="1" applyBorder="1"/>
    <xf numFmtId="43" fontId="2" fillId="0" borderId="2" xfId="1" applyFont="1" applyFill="1" applyBorder="1"/>
    <xf numFmtId="0" fontId="14" fillId="0" borderId="0" xfId="0" applyFont="1"/>
    <xf numFmtId="0" fontId="5" fillId="0" borderId="1" xfId="0" applyFont="1" applyFill="1" applyBorder="1" applyAlignment="1">
      <alignment horizontal="left" vertical="top" wrapText="1"/>
    </xf>
    <xf numFmtId="0" fontId="2" fillId="2" borderId="1" xfId="0" applyFont="1" applyFill="1" applyBorder="1"/>
    <xf numFmtId="0" fontId="2" fillId="2" borderId="2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14" fontId="2" fillId="2" borderId="1" xfId="0" applyNumberFormat="1" applyFont="1" applyFill="1" applyBorder="1"/>
    <xf numFmtId="14" fontId="2" fillId="2" borderId="2" xfId="0" applyNumberFormat="1" applyFont="1" applyFill="1" applyBorder="1"/>
    <xf numFmtId="14" fontId="2" fillId="3" borderId="1" xfId="0" applyNumberFormat="1" applyFont="1" applyFill="1" applyBorder="1"/>
    <xf numFmtId="14" fontId="2" fillId="3" borderId="2" xfId="0" applyNumberFormat="1" applyFont="1" applyFill="1" applyBorder="1"/>
    <xf numFmtId="14" fontId="2" fillId="3" borderId="2" xfId="1" applyNumberFormat="1" applyFont="1" applyFill="1" applyBorder="1"/>
    <xf numFmtId="14" fontId="2" fillId="3" borderId="1" xfId="1" applyNumberFormat="1" applyFont="1" applyFill="1" applyBorder="1"/>
    <xf numFmtId="14" fontId="2" fillId="2" borderId="1" xfId="1" applyNumberFormat="1" applyFont="1" applyFill="1" applyBorder="1"/>
    <xf numFmtId="14" fontId="2" fillId="2" borderId="2" xfId="1" applyNumberFormat="1" applyFont="1" applyFill="1" applyBorder="1"/>
    <xf numFmtId="43" fontId="2" fillId="3" borderId="1" xfId="1" applyFont="1" applyFill="1" applyBorder="1"/>
  </cellXfs>
  <cellStyles count="3">
    <cellStyle name="Comma" xfId="1" builtinId="3"/>
    <cellStyle name="Normal" xfId="0" builtinId="0"/>
    <cellStyle name="Normal 3" xfId="2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BK183"/>
  <sheetViews>
    <sheetView tabSelected="1" zoomScale="70" zoomScaleNormal="70" workbookViewId="0">
      <pane xSplit="3" ySplit="1" topLeftCell="D2" activePane="bottomRight" state="frozen"/>
      <selection pane="topRight" activeCell="D1" sqref="D1"/>
      <selection pane="bottomLeft" activeCell="A3" sqref="A3"/>
      <selection pane="bottomRight" sqref="A1:XFD1"/>
    </sheetView>
  </sheetViews>
  <sheetFormatPr defaultRowHeight="15" outlineLevelCol="1" x14ac:dyDescent="0.25"/>
  <cols>
    <col min="1" max="1" width="10.5703125" style="9" bestFit="1" customWidth="1"/>
    <col min="2" max="2" width="5.28515625" style="9" bestFit="1" customWidth="1"/>
    <col min="3" max="3" width="12.85546875" style="16" bestFit="1" customWidth="1"/>
    <col min="4" max="4" width="11.28515625" style="9" customWidth="1"/>
    <col min="5" max="5" width="14.28515625" style="9" customWidth="1"/>
    <col min="6" max="6" width="11" style="37" customWidth="1"/>
    <col min="7" max="7" width="11.140625" style="37" customWidth="1"/>
    <col min="8" max="8" width="12.85546875" style="37" customWidth="1"/>
    <col min="9" max="9" width="10.140625" style="37" customWidth="1"/>
    <col min="10" max="10" width="10.140625" style="9" customWidth="1"/>
    <col min="11" max="11" width="12.42578125" style="37" customWidth="1"/>
    <col min="12" max="12" width="13.28515625" style="39" customWidth="1"/>
    <col min="13" max="13" width="12.28515625" style="39" customWidth="1"/>
    <col min="14" max="15" width="10.28515625" style="39" customWidth="1"/>
    <col min="16" max="16" width="10.42578125" style="37" customWidth="1"/>
    <col min="17" max="17" width="12" style="10" customWidth="1" outlineLevel="1"/>
    <col min="18" max="18" width="12" style="27" customWidth="1" outlineLevel="1"/>
    <col min="19" max="19" width="14.28515625" style="11" customWidth="1" outlineLevel="1"/>
    <col min="20" max="20" width="14.28515625" style="43" customWidth="1" outlineLevel="1"/>
    <col min="21" max="21" width="23.5703125" style="41" customWidth="1" outlineLevel="1"/>
    <col min="22" max="22" width="16.28515625" style="43" customWidth="1" outlineLevel="1"/>
    <col min="23" max="23" width="12.7109375" style="10" customWidth="1" outlineLevel="1"/>
    <col min="24" max="24" width="14.28515625" style="14" customWidth="1"/>
    <col min="25" max="25" width="18.28515625" style="43" customWidth="1"/>
    <col min="26" max="26" width="13.85546875" style="43" customWidth="1"/>
    <col min="27" max="27" width="13.85546875" style="41" customWidth="1"/>
    <col min="28" max="28" width="14" style="11" customWidth="1"/>
    <col min="29" max="29" width="12.5703125" style="14" customWidth="1"/>
    <col min="30" max="31" width="12.5703125" style="43" customWidth="1"/>
    <col min="32" max="32" width="12.5703125" style="41" customWidth="1"/>
    <col min="33" max="34" width="12" style="10" customWidth="1"/>
    <col min="35" max="36" width="12" style="46" customWidth="1"/>
    <col min="37" max="37" width="12" style="47" customWidth="1"/>
    <col min="38" max="39" width="11.42578125" style="11" customWidth="1"/>
    <col min="40" max="40" width="11.42578125" style="43" customWidth="1"/>
    <col min="41" max="44" width="11.42578125" style="11" customWidth="1"/>
    <col min="45" max="48" width="10.28515625" style="11" customWidth="1"/>
    <col min="49" max="51" width="11.7109375" style="11" customWidth="1"/>
    <col min="52" max="53" width="13.140625" style="11" customWidth="1"/>
    <col min="54" max="54" width="10.7109375" style="9" customWidth="1"/>
    <col min="55" max="55" width="11.85546875" style="9" customWidth="1"/>
    <col min="56" max="56" width="18.5703125" style="11" customWidth="1"/>
    <col min="57" max="58" width="16" style="11" customWidth="1"/>
    <col min="59" max="59" width="12.7109375" style="9" customWidth="1"/>
    <col min="60" max="60" width="9.140625" style="13" customWidth="1"/>
    <col min="61" max="61" width="18.140625" style="13" customWidth="1"/>
    <col min="62" max="62" width="17.42578125" style="13" customWidth="1"/>
    <col min="63" max="63" width="48.28515625" style="13" customWidth="1"/>
    <col min="64" max="16384" width="9.140625" style="13"/>
  </cols>
  <sheetData>
    <row r="1" spans="2:63" x14ac:dyDescent="0.25">
      <c r="B1" s="9" t="str">
        <f>LEFT(C1,3)</f>
        <v>BDH</v>
      </c>
      <c r="C1" s="1" t="s">
        <v>21</v>
      </c>
      <c r="D1" s="9">
        <v>0</v>
      </c>
      <c r="F1" s="37" t="s">
        <v>15</v>
      </c>
      <c r="G1" s="37" t="s">
        <v>1</v>
      </c>
      <c r="H1" s="37" t="s">
        <v>2</v>
      </c>
      <c r="J1" s="9">
        <v>48</v>
      </c>
      <c r="K1" s="37" t="s">
        <v>13</v>
      </c>
      <c r="L1" s="39">
        <f t="shared" ref="L1:L32" si="0">IF(G1="Trên mái",30,IF(AND(G1="Dưới đất",H1="Đồng bằng"),45,IF(AND(G1="Dưới đất",H1="Miền núi"),60,IF(AND(G1="Cột tự đứng",H1="Ven biển"),150,"Kiểm tra lại lại trạm và địa hình"))))</f>
        <v>45</v>
      </c>
      <c r="M1" s="39">
        <f>IF(AND(I1=600,J1&lt;19),7,IF(AND(I1="BTLT",J1&lt;23),7,IF(I1="Cóc",5,IF(G1="Trên mái",7,IF(AND(G1="Dưới đất",J1&lt;49),10,IF(AND(G1="Dưới đất",J1&gt;49),12,"Kiểm tra loại cột"))))))</f>
        <v>10</v>
      </c>
      <c r="N1" s="39">
        <f>IF(AND(I1=600,J1&lt;19),14,IF(AND(I1="BTLT",J1&lt;23),10,IF(I1="Cóc",10,IF(G1="Trên mái",14,IF(AND(G1="Dưới đất",J1&lt;49),20,IF(AND(G1="Dưới đất",J1&gt;49),23,"Kiểm tra loại cột"))))))</f>
        <v>20</v>
      </c>
      <c r="O1" s="39">
        <f>IF(OR(AND(G1="Trên mái",K1="Cont"),AND(G1="Trên mái",K1="Xây")),25,IF(OR(AND(G1="Dưới đất",K1="Cont"),AND(G1="Dưới đất",K1="Xây")),30,IF(K1="Cải tạo",7,IF(K1="CS",2,IF(K1="DC Mini",1,IF(K1="Minishelter",N1+3,"Kiểm tra loại nhà"))))))</f>
        <v>30</v>
      </c>
      <c r="P1" s="37" t="s">
        <v>90</v>
      </c>
      <c r="Q1" s="10">
        <v>43049</v>
      </c>
      <c r="R1" s="10">
        <v>43059</v>
      </c>
      <c r="S1" s="12"/>
      <c r="T1" s="43" t="str">
        <f>IFERROR(VLOOKUP(U1,#REF!,2,0),"")</f>
        <v/>
      </c>
      <c r="U1" s="41" t="s">
        <v>337</v>
      </c>
      <c r="V1" s="43" t="str">
        <f ca="1">IF(W1&lt;&gt;"","Đã khởi công",IF(Q1&lt;&gt;"",IF(X1="",IF(W1&lt;&gt;"",IF(W1-R1&lt;8,"Trong hạn","Quá hạn"),IF(TODAY()-R1&lt;8,"Trong hạn","Quá hạn")),""),""))</f>
        <v>Đã khởi công</v>
      </c>
      <c r="W1" s="10">
        <v>43049</v>
      </c>
      <c r="X1" s="10">
        <v>43064</v>
      </c>
      <c r="Y1" s="43" t="str">
        <f ca="1">IFERROR(IF(W1&lt;&gt;"",IF(X1="",IF(AND(X1="",TODAY()-W1-M1&gt;0),"Quá hạn","Trong hạn"),"Đã xong móng"),""),"")</f>
        <v>Đã xong móng</v>
      </c>
      <c r="Z1" s="39" t="str">
        <f>IFERROR(VLOOKUP(AA1,#REF!,2,0),"")</f>
        <v/>
      </c>
      <c r="AA1" s="37" t="s">
        <v>7</v>
      </c>
      <c r="AB1" s="10">
        <v>43069</v>
      </c>
      <c r="AC1" s="14" t="s">
        <v>344</v>
      </c>
      <c r="AD1" s="43" t="str">
        <f ca="1">IF(AC1="",IF(AND(AC1="",TODAY()-$W1-N1&gt;0),"Quá hạn","Trong hạn"),"Đã xong cột")</f>
        <v>Đã xong cột</v>
      </c>
      <c r="AE1" s="39"/>
      <c r="AF1" s="37"/>
      <c r="AI1" s="43" t="str">
        <f ca="1">IFERROR(IF(AH1="",IF(AND(AH1="",TODAY()-$W1-O1&gt;0),"Quá hạn","Trong hạn"),"Đã xong nhà"),"")</f>
        <v>Quá hạn</v>
      </c>
      <c r="AL1" s="14"/>
      <c r="AM1" s="14"/>
      <c r="AN1" s="49">
        <f>O1+3</f>
        <v>33</v>
      </c>
      <c r="AO1" s="14"/>
      <c r="AP1" s="14"/>
      <c r="AQ1" s="14"/>
      <c r="AR1" s="14"/>
      <c r="BA1" s="12" t="str">
        <f>IF($AZ1&lt;&gt;"","Đã PS","chưa PS")</f>
        <v>chưa PS</v>
      </c>
      <c r="BD1" s="12">
        <f t="shared" ref="BD1:BD32" ca="1" si="1">IF(AZ1="",TODAY()-W1,AZ1-W1)</f>
        <v>101</v>
      </c>
      <c r="BE1" s="12"/>
      <c r="BF1" s="12">
        <f ca="1">BD1-BE1</f>
        <v>101</v>
      </c>
      <c r="BG1" s="9" t="str">
        <f t="shared" ref="BG1:BG32" ca="1" si="2">IF(BF1&lt;L1,"Trong hạn","Quá hạn")</f>
        <v>Quá hạn</v>
      </c>
      <c r="BH1" s="9"/>
      <c r="BI1" s="9"/>
      <c r="BJ1" s="9"/>
      <c r="BK1" s="36" t="s">
        <v>340</v>
      </c>
    </row>
    <row r="2" spans="2:63" x14ac:dyDescent="0.25">
      <c r="B2" s="9" t="str">
        <f t="shared" ref="B2:B65" si="3">LEFT(C2,3)</f>
        <v>BDH</v>
      </c>
      <c r="C2" s="1" t="s">
        <v>22</v>
      </c>
      <c r="D2" s="9" t="s">
        <v>124</v>
      </c>
      <c r="F2" s="37" t="s">
        <v>15</v>
      </c>
      <c r="G2" s="37" t="s">
        <v>1</v>
      </c>
      <c r="H2" s="37" t="s">
        <v>2</v>
      </c>
      <c r="I2" s="37">
        <v>600</v>
      </c>
      <c r="J2" s="9">
        <v>42</v>
      </c>
      <c r="K2" s="37" t="s">
        <v>14</v>
      </c>
      <c r="L2" s="39">
        <f t="shared" si="0"/>
        <v>45</v>
      </c>
      <c r="M2" s="39">
        <f t="shared" ref="M2:M65" si="4">IF(AND(I2=600,J2&lt;19),7,IF(AND(I2="BTLT",J2&lt;23),7,IF(I2="Cóc",5,IF(G2="Trên mái",7,IF(AND(G2="Dưới đất",J2&lt;49),10,IF(AND(G2="Dưới đất",J2&gt;49),12,"Kiểm tra loại cột"))))))</f>
        <v>10</v>
      </c>
      <c r="N2" s="39">
        <f t="shared" ref="N2:N65" si="5">IF(AND(I2=600,J2&lt;19),14,IF(AND(I2="BTLT",J2&lt;23),10,IF(I2="Cóc",10,IF(G2="Trên mái",14,IF(AND(G2="Dưới đất",J2&lt;49),20,IF(AND(G2="Dưới đất",J2&gt;49),23,"Kiểm tra loại cột"))))))</f>
        <v>20</v>
      </c>
      <c r="O2" s="39">
        <f t="shared" ref="O2:O65" si="6">IF(OR(AND(G2="Trên mái",K2="Cont"),AND(G2="Trên mái",K2="Xây")),25,IF(OR(AND(G2="Dưới đất",K2="Cont"),AND(G2="Dưới đất",K2="Xây")),30,IF(K2="Cải tạo",7,IF(K2="CS",2,IF(K2="DC Mini",1,IF(K2="Minishelter",N2+3,"Kiểm tra loại nhà"))))))</f>
        <v>23</v>
      </c>
      <c r="P2" s="37" t="s">
        <v>90</v>
      </c>
      <c r="Q2" s="10">
        <v>43052</v>
      </c>
      <c r="R2" s="10">
        <v>43059</v>
      </c>
      <c r="S2" s="12"/>
      <c r="T2" s="43" t="str">
        <f>IFERROR(VLOOKUP(U2,#REF!,2,0),"")</f>
        <v/>
      </c>
      <c r="V2" s="43" t="str">
        <f t="shared" ref="V2:V65" ca="1" si="7">IF(W2&lt;&gt;"","Đã khởi công",IF(Q2&lt;&gt;"",IF(X2="",IF(W2&lt;&gt;"",IF(W2-R2&lt;8,"Trong hạn","Quá hạn"),IF(TODAY()-R2&lt;8,"Trong hạn","Quá hạn")),""),""))</f>
        <v>Đã khởi công</v>
      </c>
      <c r="W2" s="10">
        <v>43052</v>
      </c>
      <c r="Y2" s="43" t="str">
        <f t="shared" ref="Y2:Y65" ca="1" si="8">IFERROR(IF(W2&lt;&gt;"",IF(X2="",IF(AND(X2="",TODAY()-W2-M2&gt;0),"Quá hạn","Trong hạn"),"Đã xong móng"),""),"")</f>
        <v>Quá hạn</v>
      </c>
      <c r="Z2" s="39" t="str">
        <f>IFERROR(VLOOKUP(AA2,#REF!,2,0),"")</f>
        <v/>
      </c>
      <c r="AA2" s="37" t="s">
        <v>334</v>
      </c>
      <c r="AB2" s="14"/>
      <c r="AD2" s="43" t="str">
        <f t="shared" ref="AD2:AD65" ca="1" si="9">IFERROR(IF(AC2="",IF(AND(AC2="",TODAY()-$W2-N2&gt;0),"Quá hạn","Trong hạn"),"Đã xong cột"),"")</f>
        <v>Quá hạn</v>
      </c>
      <c r="AE2" s="39"/>
      <c r="AF2" s="37"/>
      <c r="AI2" s="43" t="str">
        <f t="shared" ref="AI2:AI65" ca="1" si="10">IFERROR(IF(AH2="",IF(AND(AH2="",TODAY()-$W2-O2&gt;0),"Quá hạn","Trong hạn"),"Đã xong nhà"),"")</f>
        <v>Quá hạn</v>
      </c>
      <c r="AN2" s="49">
        <f t="shared" ref="AN2:AN65" si="11">O2+3</f>
        <v>26</v>
      </c>
      <c r="BA2" s="12" t="str">
        <f t="shared" ref="BA2:BA65" si="12">IF($AZ2&lt;&gt;"","Đã PS","chưa PS")</f>
        <v>chưa PS</v>
      </c>
      <c r="BD2" s="12">
        <f t="shared" ca="1" si="1"/>
        <v>98</v>
      </c>
      <c r="BE2" s="12"/>
      <c r="BF2" s="12">
        <f t="shared" ref="BF2:BF65" ca="1" si="13">BD2-BE2</f>
        <v>98</v>
      </c>
      <c r="BG2" s="9" t="str">
        <f t="shared" ca="1" si="2"/>
        <v>Quá hạn</v>
      </c>
      <c r="BH2" s="9"/>
      <c r="BI2" s="9"/>
      <c r="BJ2" s="9"/>
      <c r="BK2" s="9"/>
    </row>
    <row r="3" spans="2:63" ht="25.5" x14ac:dyDescent="0.25">
      <c r="B3" s="9" t="str">
        <f t="shared" si="3"/>
        <v>BDH</v>
      </c>
      <c r="C3" s="1" t="s">
        <v>23</v>
      </c>
      <c r="D3" s="9" t="s">
        <v>125</v>
      </c>
      <c r="F3" s="37" t="s">
        <v>17</v>
      </c>
      <c r="G3" s="37" t="s">
        <v>1</v>
      </c>
      <c r="H3" s="37" t="s">
        <v>2</v>
      </c>
      <c r="I3" s="37">
        <v>600</v>
      </c>
      <c r="J3" s="9">
        <v>42</v>
      </c>
      <c r="K3" s="37" t="s">
        <v>13</v>
      </c>
      <c r="L3" s="39">
        <f t="shared" si="0"/>
        <v>45</v>
      </c>
      <c r="M3" s="39">
        <f t="shared" si="4"/>
        <v>10</v>
      </c>
      <c r="N3" s="39">
        <f t="shared" si="5"/>
        <v>20</v>
      </c>
      <c r="O3" s="39">
        <f t="shared" si="6"/>
        <v>30</v>
      </c>
      <c r="P3" s="37" t="s">
        <v>90</v>
      </c>
      <c r="Q3" s="10">
        <v>43045</v>
      </c>
      <c r="R3" s="10">
        <v>43059</v>
      </c>
      <c r="S3" s="12"/>
      <c r="T3" s="43" t="str">
        <f>IFERROR(VLOOKUP(U3,#REF!,2,0),"")</f>
        <v/>
      </c>
      <c r="V3" s="43" t="str">
        <f t="shared" ca="1" si="7"/>
        <v>Đã khởi công</v>
      </c>
      <c r="W3" s="10">
        <v>43045</v>
      </c>
      <c r="Y3" s="43" t="str">
        <f t="shared" ca="1" si="8"/>
        <v>Quá hạn</v>
      </c>
      <c r="Z3" s="39" t="str">
        <f>IFERROR(VLOOKUP(AA3,#REF!,2,0),"")</f>
        <v/>
      </c>
      <c r="AA3" s="37" t="s">
        <v>334</v>
      </c>
      <c r="AB3" s="14"/>
      <c r="AD3" s="43" t="str">
        <f t="shared" ca="1" si="9"/>
        <v>Quá hạn</v>
      </c>
      <c r="AE3" s="39"/>
      <c r="AF3" s="37"/>
      <c r="AI3" s="43" t="str">
        <f t="shared" ca="1" si="10"/>
        <v>Quá hạn</v>
      </c>
      <c r="AN3" s="49">
        <f t="shared" si="11"/>
        <v>33</v>
      </c>
      <c r="BA3" s="12" t="str">
        <f t="shared" si="12"/>
        <v>chưa PS</v>
      </c>
      <c r="BD3" s="12">
        <f t="shared" ca="1" si="1"/>
        <v>105</v>
      </c>
      <c r="BE3" s="12"/>
      <c r="BF3" s="12">
        <f t="shared" ca="1" si="13"/>
        <v>105</v>
      </c>
      <c r="BG3" s="9" t="str">
        <f t="shared" ca="1" si="2"/>
        <v>Quá hạn</v>
      </c>
      <c r="BH3" s="9"/>
      <c r="BI3" s="9"/>
      <c r="BJ3" s="9"/>
      <c r="BK3" s="2" t="s">
        <v>341</v>
      </c>
    </row>
    <row r="4" spans="2:63" x14ac:dyDescent="0.25">
      <c r="B4" s="9" t="str">
        <f t="shared" si="3"/>
        <v>BDH</v>
      </c>
      <c r="C4" s="1" t="s">
        <v>24</v>
      </c>
      <c r="D4" s="9">
        <v>0</v>
      </c>
      <c r="F4" s="37" t="s">
        <v>15</v>
      </c>
      <c r="G4" s="37" t="s">
        <v>1</v>
      </c>
      <c r="H4" s="37" t="s">
        <v>2</v>
      </c>
      <c r="I4" s="37">
        <v>600</v>
      </c>
      <c r="J4" s="9">
        <v>30</v>
      </c>
      <c r="K4" s="37" t="s">
        <v>11</v>
      </c>
      <c r="L4" s="39">
        <f t="shared" si="0"/>
        <v>45</v>
      </c>
      <c r="M4" s="39">
        <f t="shared" si="4"/>
        <v>10</v>
      </c>
      <c r="N4" s="39">
        <f t="shared" si="5"/>
        <v>20</v>
      </c>
      <c r="O4" s="39">
        <f t="shared" si="6"/>
        <v>30</v>
      </c>
      <c r="P4" s="37" t="s">
        <v>90</v>
      </c>
      <c r="Q4" s="10">
        <v>43052</v>
      </c>
      <c r="R4" s="10">
        <v>43059</v>
      </c>
      <c r="S4" s="12"/>
      <c r="T4" s="43" t="str">
        <f>IFERROR(VLOOKUP(U4,#REF!,2,0),"")</f>
        <v/>
      </c>
      <c r="V4" s="43" t="str">
        <f t="shared" ca="1" si="7"/>
        <v>Đã khởi công</v>
      </c>
      <c r="W4" s="10">
        <v>43052</v>
      </c>
      <c r="Y4" s="43" t="str">
        <f t="shared" ca="1" si="8"/>
        <v>Quá hạn</v>
      </c>
      <c r="Z4" s="39" t="str">
        <f>IFERROR(VLOOKUP(AA4,#REF!,2,0),"")</f>
        <v/>
      </c>
      <c r="AA4" s="37" t="s">
        <v>334</v>
      </c>
      <c r="AB4" s="14"/>
      <c r="AD4" s="43" t="str">
        <f t="shared" ca="1" si="9"/>
        <v>Quá hạn</v>
      </c>
      <c r="AE4" s="39"/>
      <c r="AF4" s="37"/>
      <c r="AI4" s="43" t="str">
        <f t="shared" ca="1" si="10"/>
        <v>Quá hạn</v>
      </c>
      <c r="AN4" s="49">
        <f t="shared" si="11"/>
        <v>33</v>
      </c>
      <c r="BA4" s="12" t="str">
        <f t="shared" si="12"/>
        <v>chưa PS</v>
      </c>
      <c r="BD4" s="12">
        <f t="shared" ca="1" si="1"/>
        <v>98</v>
      </c>
      <c r="BE4" s="12"/>
      <c r="BF4" s="12">
        <f t="shared" ca="1" si="13"/>
        <v>98</v>
      </c>
      <c r="BG4" s="9" t="str">
        <f t="shared" ca="1" si="2"/>
        <v>Quá hạn</v>
      </c>
      <c r="BH4" s="9"/>
      <c r="BI4" s="9"/>
      <c r="BJ4" s="9"/>
      <c r="BK4" s="9"/>
    </row>
    <row r="5" spans="2:63" x14ac:dyDescent="0.25">
      <c r="B5" s="9" t="str">
        <f t="shared" si="3"/>
        <v>BTN</v>
      </c>
      <c r="C5" s="2" t="s">
        <v>25</v>
      </c>
      <c r="D5" s="9" t="s">
        <v>126</v>
      </c>
      <c r="F5" s="37" t="s">
        <v>16</v>
      </c>
      <c r="G5" s="37" t="s">
        <v>1</v>
      </c>
      <c r="H5" s="37" t="s">
        <v>2</v>
      </c>
      <c r="I5" s="37" t="s">
        <v>18</v>
      </c>
      <c r="J5" s="9">
        <v>18</v>
      </c>
      <c r="K5" s="37" t="s">
        <v>12</v>
      </c>
      <c r="L5" s="39">
        <f t="shared" si="0"/>
        <v>45</v>
      </c>
      <c r="M5" s="39">
        <f t="shared" si="4"/>
        <v>7</v>
      </c>
      <c r="N5" s="39">
        <f t="shared" si="5"/>
        <v>10</v>
      </c>
      <c r="O5" s="39">
        <f t="shared" si="6"/>
        <v>1</v>
      </c>
      <c r="P5" s="37" t="s">
        <v>90</v>
      </c>
      <c r="R5" s="10"/>
      <c r="S5" s="12"/>
      <c r="T5" s="43" t="str">
        <f>IFERROR(VLOOKUP(U5,#REF!,2,0),"")</f>
        <v/>
      </c>
      <c r="U5" s="41" t="s">
        <v>337</v>
      </c>
      <c r="V5" s="43" t="str">
        <f t="shared" ca="1" si="7"/>
        <v/>
      </c>
      <c r="X5" s="28"/>
      <c r="Y5" s="43" t="str">
        <f t="shared" ca="1" si="8"/>
        <v/>
      </c>
      <c r="Z5" s="39" t="str">
        <f>IFERROR(VLOOKUP(AA5,#REF!,2,0),"")</f>
        <v/>
      </c>
      <c r="AA5" s="37"/>
      <c r="AB5" s="14" t="s">
        <v>333</v>
      </c>
      <c r="AD5" s="43" t="str">
        <f t="shared" ca="1" si="9"/>
        <v>Quá hạn</v>
      </c>
      <c r="AE5" s="39"/>
      <c r="AF5" s="37"/>
      <c r="AI5" s="43" t="str">
        <f t="shared" ca="1" si="10"/>
        <v>Quá hạn</v>
      </c>
      <c r="AN5" s="49">
        <f t="shared" si="11"/>
        <v>4</v>
      </c>
      <c r="BA5" s="12" t="str">
        <f t="shared" si="12"/>
        <v>chưa PS</v>
      </c>
      <c r="BD5" s="12">
        <f t="shared" ca="1" si="1"/>
        <v>43150</v>
      </c>
      <c r="BE5" s="12"/>
      <c r="BF5" s="12">
        <f t="shared" ca="1" si="13"/>
        <v>43150</v>
      </c>
      <c r="BG5" s="9" t="str">
        <f t="shared" ca="1" si="2"/>
        <v>Quá hạn</v>
      </c>
      <c r="BH5" s="9"/>
      <c r="BI5" s="9"/>
      <c r="BJ5" s="9"/>
      <c r="BK5" s="9"/>
    </row>
    <row r="6" spans="2:63" x14ac:dyDescent="0.25">
      <c r="B6" s="9" t="str">
        <f t="shared" si="3"/>
        <v>BTN</v>
      </c>
      <c r="C6" s="3" t="s">
        <v>26</v>
      </c>
      <c r="D6" s="9" t="s">
        <v>127</v>
      </c>
      <c r="F6" s="37" t="s">
        <v>15</v>
      </c>
      <c r="G6" s="37" t="s">
        <v>1</v>
      </c>
      <c r="H6" s="37" t="s">
        <v>2</v>
      </c>
      <c r="I6" s="37">
        <v>600</v>
      </c>
      <c r="J6" s="9">
        <v>42</v>
      </c>
      <c r="K6" s="37" t="s">
        <v>12</v>
      </c>
      <c r="L6" s="39">
        <f t="shared" si="0"/>
        <v>45</v>
      </c>
      <c r="M6" s="39">
        <f t="shared" si="4"/>
        <v>10</v>
      </c>
      <c r="N6" s="39">
        <f t="shared" si="5"/>
        <v>20</v>
      </c>
      <c r="O6" s="39">
        <f t="shared" si="6"/>
        <v>1</v>
      </c>
      <c r="P6" s="37" t="s">
        <v>90</v>
      </c>
      <c r="Q6" s="10">
        <v>42992</v>
      </c>
      <c r="S6" s="12"/>
      <c r="T6" s="43" t="str">
        <f>IFERROR(VLOOKUP(U6,#REF!,2,0),"")</f>
        <v/>
      </c>
      <c r="U6" s="41" t="s">
        <v>8</v>
      </c>
      <c r="V6" s="43" t="str">
        <f t="shared" ca="1" si="7"/>
        <v>Quá hạn</v>
      </c>
      <c r="Y6" s="43" t="str">
        <f t="shared" ca="1" si="8"/>
        <v/>
      </c>
      <c r="Z6" s="39" t="str">
        <f>IFERROR(VLOOKUP(AA6,#REF!,2,0),"")</f>
        <v/>
      </c>
      <c r="AA6" s="37"/>
      <c r="AB6" s="14"/>
      <c r="AD6" s="43" t="str">
        <f t="shared" ca="1" si="9"/>
        <v>Quá hạn</v>
      </c>
      <c r="AE6" s="39"/>
      <c r="AF6" s="37"/>
      <c r="AI6" s="43" t="str">
        <f t="shared" ca="1" si="10"/>
        <v>Quá hạn</v>
      </c>
      <c r="AN6" s="49">
        <f t="shared" si="11"/>
        <v>4</v>
      </c>
      <c r="BA6" s="12" t="str">
        <f t="shared" si="12"/>
        <v>chưa PS</v>
      </c>
      <c r="BD6" s="12">
        <f t="shared" ca="1" si="1"/>
        <v>43150</v>
      </c>
      <c r="BE6" s="12"/>
      <c r="BF6" s="12">
        <f t="shared" ca="1" si="13"/>
        <v>43150</v>
      </c>
      <c r="BG6" s="9" t="str">
        <f t="shared" ca="1" si="2"/>
        <v>Quá hạn</v>
      </c>
      <c r="BH6" s="9"/>
      <c r="BI6" s="9"/>
      <c r="BJ6" s="9"/>
      <c r="BK6" s="9"/>
    </row>
    <row r="7" spans="2:63" x14ac:dyDescent="0.25">
      <c r="B7" s="9" t="str">
        <f t="shared" si="3"/>
        <v>BTN</v>
      </c>
      <c r="C7" s="3" t="s">
        <v>27</v>
      </c>
      <c r="D7" s="9" t="s">
        <v>128</v>
      </c>
      <c r="F7" s="37" t="s">
        <v>16</v>
      </c>
      <c r="G7" s="37" t="s">
        <v>1</v>
      </c>
      <c r="H7" s="37" t="s">
        <v>2</v>
      </c>
      <c r="I7" s="37" t="s">
        <v>18</v>
      </c>
      <c r="J7" s="9">
        <v>18</v>
      </c>
      <c r="K7" s="37" t="s">
        <v>12</v>
      </c>
      <c r="L7" s="39">
        <f t="shared" si="0"/>
        <v>45</v>
      </c>
      <c r="M7" s="39">
        <f t="shared" si="4"/>
        <v>7</v>
      </c>
      <c r="N7" s="39">
        <f t="shared" si="5"/>
        <v>10</v>
      </c>
      <c r="O7" s="39">
        <f t="shared" si="6"/>
        <v>1</v>
      </c>
      <c r="P7" s="37" t="s">
        <v>90</v>
      </c>
      <c r="Q7" s="10">
        <v>43074</v>
      </c>
      <c r="R7" s="10">
        <v>43074</v>
      </c>
      <c r="S7" s="12"/>
      <c r="T7" s="43" t="str">
        <f>IFERROR(VLOOKUP(U7,#REF!,2,0),"")</f>
        <v/>
      </c>
      <c r="V7" s="43" t="str">
        <f t="shared" ca="1" si="7"/>
        <v>Đã khởi công</v>
      </c>
      <c r="W7" s="10">
        <v>43074</v>
      </c>
      <c r="Y7" s="43" t="str">
        <f t="shared" ca="1" si="8"/>
        <v>Quá hạn</v>
      </c>
      <c r="Z7" s="39" t="str">
        <f>IFERROR(VLOOKUP(AA7,#REF!,2,0),"")</f>
        <v/>
      </c>
      <c r="AA7" s="37"/>
      <c r="AB7" s="14" t="s">
        <v>333</v>
      </c>
      <c r="AD7" s="43" t="str">
        <f t="shared" ca="1" si="9"/>
        <v>Quá hạn</v>
      </c>
      <c r="AE7" s="39"/>
      <c r="AF7" s="37"/>
      <c r="AI7" s="43" t="str">
        <f t="shared" ca="1" si="10"/>
        <v>Quá hạn</v>
      </c>
      <c r="AN7" s="49">
        <f t="shared" si="11"/>
        <v>4</v>
      </c>
      <c r="BA7" s="12" t="str">
        <f t="shared" si="12"/>
        <v>chưa PS</v>
      </c>
      <c r="BD7" s="12">
        <f t="shared" ca="1" si="1"/>
        <v>76</v>
      </c>
      <c r="BE7" s="12"/>
      <c r="BF7" s="12">
        <f t="shared" ca="1" si="13"/>
        <v>76</v>
      </c>
      <c r="BG7" s="9" t="str">
        <f t="shared" ca="1" si="2"/>
        <v>Quá hạn</v>
      </c>
      <c r="BH7" s="9"/>
      <c r="BI7" s="9"/>
      <c r="BJ7" s="9"/>
      <c r="BK7" s="9"/>
    </row>
    <row r="8" spans="2:63" x14ac:dyDescent="0.25">
      <c r="B8" s="9" t="str">
        <f t="shared" si="3"/>
        <v>BTN</v>
      </c>
      <c r="C8" s="4" t="s">
        <v>28</v>
      </c>
      <c r="D8" s="9" t="s">
        <v>129</v>
      </c>
      <c r="F8" s="37" t="s">
        <v>16</v>
      </c>
      <c r="G8" s="37" t="s">
        <v>1</v>
      </c>
      <c r="H8" s="37" t="s">
        <v>2</v>
      </c>
      <c r="I8" s="37" t="s">
        <v>18</v>
      </c>
      <c r="J8" s="9">
        <v>14</v>
      </c>
      <c r="K8" s="37" t="s">
        <v>12</v>
      </c>
      <c r="L8" s="39">
        <f t="shared" si="0"/>
        <v>45</v>
      </c>
      <c r="M8" s="39">
        <f t="shared" si="4"/>
        <v>7</v>
      </c>
      <c r="N8" s="39">
        <f t="shared" si="5"/>
        <v>10</v>
      </c>
      <c r="O8" s="39">
        <f t="shared" si="6"/>
        <v>1</v>
      </c>
      <c r="P8" s="37" t="s">
        <v>90</v>
      </c>
      <c r="Q8" s="10">
        <v>42987</v>
      </c>
      <c r="R8" s="10">
        <v>42987</v>
      </c>
      <c r="S8" s="12"/>
      <c r="T8" s="43" t="str">
        <f>IFERROR(VLOOKUP(U8,#REF!,2,0),"")</f>
        <v/>
      </c>
      <c r="U8" s="41" t="s">
        <v>338</v>
      </c>
      <c r="V8" s="43" t="str">
        <f t="shared" ca="1" si="7"/>
        <v>Quá hạn</v>
      </c>
      <c r="Y8" s="43" t="str">
        <f t="shared" ca="1" si="8"/>
        <v/>
      </c>
      <c r="Z8" s="39" t="str">
        <f>IFERROR(VLOOKUP(AA8,#REF!,2,0),"")</f>
        <v/>
      </c>
      <c r="AA8" s="37"/>
      <c r="AB8" s="14" t="s">
        <v>333</v>
      </c>
      <c r="AD8" s="43" t="str">
        <f t="shared" ca="1" si="9"/>
        <v>Quá hạn</v>
      </c>
      <c r="AE8" s="39"/>
      <c r="AF8" s="37"/>
      <c r="AI8" s="43" t="str">
        <f t="shared" ca="1" si="10"/>
        <v>Quá hạn</v>
      </c>
      <c r="AN8" s="49">
        <f t="shared" si="11"/>
        <v>4</v>
      </c>
      <c r="BA8" s="12" t="str">
        <f t="shared" si="12"/>
        <v>chưa PS</v>
      </c>
      <c r="BD8" s="12">
        <f t="shared" ca="1" si="1"/>
        <v>43150</v>
      </c>
      <c r="BE8" s="12"/>
      <c r="BF8" s="12">
        <f t="shared" ca="1" si="13"/>
        <v>43150</v>
      </c>
      <c r="BG8" s="9" t="str">
        <f t="shared" ca="1" si="2"/>
        <v>Quá hạn</v>
      </c>
      <c r="BH8" s="9"/>
      <c r="BI8" s="9"/>
      <c r="BJ8" s="9"/>
      <c r="BK8" s="9"/>
    </row>
    <row r="9" spans="2:63" x14ac:dyDescent="0.25">
      <c r="B9" s="9" t="str">
        <f t="shared" si="3"/>
        <v>BTN</v>
      </c>
      <c r="C9" s="4" t="s">
        <v>29</v>
      </c>
      <c r="D9" s="9" t="s">
        <v>130</v>
      </c>
      <c r="F9" s="37" t="s">
        <v>16</v>
      </c>
      <c r="G9" s="37" t="s">
        <v>1</v>
      </c>
      <c r="H9" s="37" t="s">
        <v>2</v>
      </c>
      <c r="I9" s="37" t="s">
        <v>18</v>
      </c>
      <c r="J9" s="9">
        <v>14</v>
      </c>
      <c r="K9" s="37" t="s">
        <v>12</v>
      </c>
      <c r="L9" s="39">
        <f t="shared" si="0"/>
        <v>45</v>
      </c>
      <c r="M9" s="39">
        <f t="shared" si="4"/>
        <v>7</v>
      </c>
      <c r="N9" s="39">
        <f t="shared" si="5"/>
        <v>10</v>
      </c>
      <c r="O9" s="39">
        <f t="shared" si="6"/>
        <v>1</v>
      </c>
      <c r="P9" s="37" t="s">
        <v>90</v>
      </c>
      <c r="R9" s="10"/>
      <c r="S9" s="12"/>
      <c r="T9" s="43" t="str">
        <f>IFERROR(VLOOKUP(U9,#REF!,2,0),"")</f>
        <v/>
      </c>
      <c r="V9" s="43" t="str">
        <f t="shared" ca="1" si="7"/>
        <v/>
      </c>
      <c r="Y9" s="43" t="str">
        <f t="shared" ca="1" si="8"/>
        <v/>
      </c>
      <c r="Z9" s="39" t="str">
        <f>IFERROR(VLOOKUP(AA9,#REF!,2,0),"")</f>
        <v/>
      </c>
      <c r="AA9" s="37"/>
      <c r="AB9" s="14" t="s">
        <v>333</v>
      </c>
      <c r="AD9" s="43" t="str">
        <f t="shared" ca="1" si="9"/>
        <v>Quá hạn</v>
      </c>
      <c r="AE9" s="39"/>
      <c r="AF9" s="37"/>
      <c r="AI9" s="43" t="str">
        <f t="shared" ca="1" si="10"/>
        <v>Quá hạn</v>
      </c>
      <c r="AN9" s="49">
        <f t="shared" si="11"/>
        <v>4</v>
      </c>
      <c r="BA9" s="12" t="str">
        <f t="shared" si="12"/>
        <v>chưa PS</v>
      </c>
      <c r="BD9" s="12">
        <f t="shared" ca="1" si="1"/>
        <v>43150</v>
      </c>
      <c r="BE9" s="12"/>
      <c r="BF9" s="12">
        <f t="shared" ca="1" si="13"/>
        <v>43150</v>
      </c>
      <c r="BG9" s="9" t="str">
        <f t="shared" ca="1" si="2"/>
        <v>Quá hạn</v>
      </c>
      <c r="BH9" s="9"/>
      <c r="BI9" s="9"/>
      <c r="BJ9" s="9"/>
      <c r="BK9" s="9"/>
    </row>
    <row r="10" spans="2:63" x14ac:dyDescent="0.25">
      <c r="B10" s="9" t="str">
        <f t="shared" si="3"/>
        <v>BTN</v>
      </c>
      <c r="C10" s="4" t="s">
        <v>30</v>
      </c>
      <c r="D10" s="9" t="s">
        <v>131</v>
      </c>
      <c r="F10" s="37" t="s">
        <v>16</v>
      </c>
      <c r="G10" s="37" t="s">
        <v>1</v>
      </c>
      <c r="H10" s="37" t="s">
        <v>2</v>
      </c>
      <c r="I10" s="37" t="s">
        <v>18</v>
      </c>
      <c r="J10" s="9">
        <v>18</v>
      </c>
      <c r="K10" s="37" t="s">
        <v>14</v>
      </c>
      <c r="L10" s="39">
        <f t="shared" si="0"/>
        <v>45</v>
      </c>
      <c r="M10" s="39">
        <f t="shared" si="4"/>
        <v>7</v>
      </c>
      <c r="N10" s="39">
        <f t="shared" si="5"/>
        <v>10</v>
      </c>
      <c r="O10" s="39">
        <f t="shared" si="6"/>
        <v>13</v>
      </c>
      <c r="P10" s="37" t="s">
        <v>90</v>
      </c>
      <c r="Q10" s="10">
        <v>42987</v>
      </c>
      <c r="R10" s="10">
        <v>42987</v>
      </c>
      <c r="S10" s="12"/>
      <c r="T10" s="43" t="str">
        <f>IFERROR(VLOOKUP(U10,#REF!,2,0),"")</f>
        <v/>
      </c>
      <c r="U10" s="41" t="s">
        <v>8</v>
      </c>
      <c r="V10" s="43" t="str">
        <f t="shared" ca="1" si="7"/>
        <v>Quá hạn</v>
      </c>
      <c r="Y10" s="43" t="str">
        <f t="shared" ca="1" si="8"/>
        <v/>
      </c>
      <c r="Z10" s="39" t="str">
        <f>IFERROR(VLOOKUP(AA10,#REF!,2,0),"")</f>
        <v/>
      </c>
      <c r="AA10" s="37"/>
      <c r="AB10" s="14" t="s">
        <v>333</v>
      </c>
      <c r="AD10" s="43" t="str">
        <f t="shared" ca="1" si="9"/>
        <v>Quá hạn</v>
      </c>
      <c r="AE10" s="39"/>
      <c r="AF10" s="37"/>
      <c r="AI10" s="43" t="str">
        <f t="shared" ca="1" si="10"/>
        <v>Quá hạn</v>
      </c>
      <c r="AN10" s="49">
        <f t="shared" si="11"/>
        <v>16</v>
      </c>
      <c r="BA10" s="12" t="str">
        <f t="shared" si="12"/>
        <v>chưa PS</v>
      </c>
      <c r="BD10" s="12">
        <f t="shared" ca="1" si="1"/>
        <v>43150</v>
      </c>
      <c r="BE10" s="12"/>
      <c r="BF10" s="12">
        <f t="shared" ca="1" si="13"/>
        <v>43150</v>
      </c>
      <c r="BG10" s="9" t="str">
        <f t="shared" ca="1" si="2"/>
        <v>Quá hạn</v>
      </c>
      <c r="BH10" s="9"/>
      <c r="BI10" s="9"/>
      <c r="BJ10" s="9"/>
      <c r="BK10" s="9"/>
    </row>
    <row r="11" spans="2:63" x14ac:dyDescent="0.25">
      <c r="B11" s="9" t="str">
        <f t="shared" si="3"/>
        <v>DCN</v>
      </c>
      <c r="C11" s="3" t="s">
        <v>31</v>
      </c>
      <c r="D11" s="9" t="s">
        <v>132</v>
      </c>
      <c r="F11" s="37" t="s">
        <v>17</v>
      </c>
      <c r="G11" s="37" t="s">
        <v>1</v>
      </c>
      <c r="H11" s="37" t="s">
        <v>2</v>
      </c>
      <c r="I11" s="37">
        <v>600</v>
      </c>
      <c r="J11" s="9">
        <v>18</v>
      </c>
      <c r="K11" s="37" t="s">
        <v>12</v>
      </c>
      <c r="L11" s="39">
        <f t="shared" si="0"/>
        <v>45</v>
      </c>
      <c r="M11" s="39">
        <f t="shared" si="4"/>
        <v>7</v>
      </c>
      <c r="N11" s="39">
        <f t="shared" si="5"/>
        <v>14</v>
      </c>
      <c r="O11" s="39">
        <f t="shared" si="6"/>
        <v>1</v>
      </c>
      <c r="P11" s="37" t="s">
        <v>90</v>
      </c>
      <c r="Q11" s="10">
        <v>42998</v>
      </c>
      <c r="S11" s="12"/>
      <c r="T11" s="43" t="str">
        <f>IFERROR(VLOOKUP(U11,#REF!,2,0),"")</f>
        <v/>
      </c>
      <c r="U11" s="41" t="s">
        <v>8</v>
      </c>
      <c r="V11" s="43" t="str">
        <f t="shared" ca="1" si="7"/>
        <v>Quá hạn</v>
      </c>
      <c r="Y11" s="43" t="str">
        <f t="shared" ca="1" si="8"/>
        <v/>
      </c>
      <c r="Z11" s="39" t="str">
        <f>IFERROR(VLOOKUP(AA11,#REF!,2,0),"")</f>
        <v/>
      </c>
      <c r="AA11" s="37"/>
      <c r="AB11" s="14"/>
      <c r="AD11" s="43" t="str">
        <f t="shared" ca="1" si="9"/>
        <v>Quá hạn</v>
      </c>
      <c r="AE11" s="39"/>
      <c r="AF11" s="37"/>
      <c r="AI11" s="43" t="str">
        <f t="shared" ca="1" si="10"/>
        <v>Quá hạn</v>
      </c>
      <c r="AN11" s="49">
        <f t="shared" si="11"/>
        <v>4</v>
      </c>
      <c r="BA11" s="12" t="str">
        <f t="shared" si="12"/>
        <v>chưa PS</v>
      </c>
      <c r="BD11" s="12">
        <f t="shared" ca="1" si="1"/>
        <v>43150</v>
      </c>
      <c r="BE11" s="12"/>
      <c r="BF11" s="12">
        <f t="shared" ca="1" si="13"/>
        <v>43150</v>
      </c>
      <c r="BG11" s="9" t="str">
        <f t="shared" ca="1" si="2"/>
        <v>Quá hạn</v>
      </c>
      <c r="BH11" s="9"/>
      <c r="BI11" s="9"/>
      <c r="BJ11" s="9"/>
      <c r="BK11" s="9"/>
    </row>
    <row r="12" spans="2:63" x14ac:dyDescent="0.25">
      <c r="B12" s="9" t="str">
        <f t="shared" si="3"/>
        <v>DCN</v>
      </c>
      <c r="C12" s="3" t="s">
        <v>32</v>
      </c>
      <c r="D12" s="9" t="s">
        <v>133</v>
      </c>
      <c r="F12" s="37" t="s">
        <v>17</v>
      </c>
      <c r="G12" s="37" t="s">
        <v>1</v>
      </c>
      <c r="H12" s="37" t="s">
        <v>2</v>
      </c>
      <c r="I12" s="37">
        <v>600</v>
      </c>
      <c r="J12" s="9">
        <v>30</v>
      </c>
      <c r="K12" s="37" t="s">
        <v>12</v>
      </c>
      <c r="L12" s="39">
        <f t="shared" si="0"/>
        <v>45</v>
      </c>
      <c r="M12" s="39">
        <f t="shared" si="4"/>
        <v>10</v>
      </c>
      <c r="N12" s="39">
        <f t="shared" si="5"/>
        <v>20</v>
      </c>
      <c r="O12" s="39">
        <f t="shared" si="6"/>
        <v>1</v>
      </c>
      <c r="P12" s="37" t="s">
        <v>90</v>
      </c>
      <c r="Q12" s="10">
        <v>43047</v>
      </c>
      <c r="R12" s="10">
        <f>Q12+7</f>
        <v>43054</v>
      </c>
      <c r="S12" s="12"/>
      <c r="T12" s="43" t="str">
        <f>IFERROR(VLOOKUP(U12,#REF!,2,0),"")</f>
        <v/>
      </c>
      <c r="V12" s="43" t="str">
        <f t="shared" ca="1" si="7"/>
        <v>Đã khởi công</v>
      </c>
      <c r="W12" s="10">
        <v>43047</v>
      </c>
      <c r="X12" s="14">
        <v>43071</v>
      </c>
      <c r="Y12" s="43" t="str">
        <f ca="1">IFERROR(IF(W12&lt;&gt;"",IF(X12="",IF(AND(X12="",TODAY()-W12-M12&gt;0),"Quá hạn","Trong hạn"),"Đã xong móng"),""),"")</f>
        <v>Đã xong móng</v>
      </c>
      <c r="Z12" s="39" t="str">
        <f>IFERROR(VLOOKUP(AA12,#REF!,2,0),"")</f>
        <v/>
      </c>
      <c r="AA12" s="37"/>
      <c r="AB12" s="14">
        <v>43066</v>
      </c>
      <c r="AD12" s="43" t="str">
        <f t="shared" ca="1" si="9"/>
        <v>Quá hạn</v>
      </c>
      <c r="AE12" s="39"/>
      <c r="AF12" s="37"/>
      <c r="AI12" s="43" t="str">
        <f t="shared" ca="1" si="10"/>
        <v>Quá hạn</v>
      </c>
      <c r="AN12" s="49">
        <f t="shared" si="11"/>
        <v>4</v>
      </c>
      <c r="BA12" s="12" t="str">
        <f t="shared" si="12"/>
        <v>chưa PS</v>
      </c>
      <c r="BD12" s="12">
        <f t="shared" ca="1" si="1"/>
        <v>103</v>
      </c>
      <c r="BE12" s="12"/>
      <c r="BF12" s="12">
        <f t="shared" ca="1" si="13"/>
        <v>103</v>
      </c>
      <c r="BG12" s="9" t="str">
        <f t="shared" ca="1" si="2"/>
        <v>Quá hạn</v>
      </c>
      <c r="BH12" s="9"/>
      <c r="BI12" s="9"/>
      <c r="BJ12" s="9"/>
      <c r="BK12" s="9"/>
    </row>
    <row r="13" spans="2:63" x14ac:dyDescent="0.25">
      <c r="B13" s="9" t="str">
        <f t="shared" si="3"/>
        <v>DLK</v>
      </c>
      <c r="C13" s="3" t="s">
        <v>33</v>
      </c>
      <c r="D13" s="9" t="s">
        <v>134</v>
      </c>
      <c r="F13" s="37" t="s">
        <v>17</v>
      </c>
      <c r="G13" s="37" t="s">
        <v>1</v>
      </c>
      <c r="H13" s="37" t="s">
        <v>2</v>
      </c>
      <c r="I13" s="37">
        <v>600</v>
      </c>
      <c r="J13" s="9">
        <v>54</v>
      </c>
      <c r="K13" s="37" t="s">
        <v>11</v>
      </c>
      <c r="L13" s="39">
        <f t="shared" si="0"/>
        <v>45</v>
      </c>
      <c r="M13" s="39">
        <f t="shared" si="4"/>
        <v>12</v>
      </c>
      <c r="N13" s="39">
        <f t="shared" si="5"/>
        <v>23</v>
      </c>
      <c r="O13" s="39">
        <f t="shared" si="6"/>
        <v>30</v>
      </c>
      <c r="P13" s="37" t="s">
        <v>90</v>
      </c>
      <c r="Q13" s="10">
        <v>42998</v>
      </c>
      <c r="R13" s="10">
        <f t="shared" ref="R13:R19" si="14">Q13+7</f>
        <v>43005</v>
      </c>
      <c r="S13" s="12"/>
      <c r="T13" s="43" t="str">
        <f>IFERROR(VLOOKUP(U13,#REF!,2,0),"")</f>
        <v/>
      </c>
      <c r="U13" s="41" t="s">
        <v>5</v>
      </c>
      <c r="V13" s="43" t="str">
        <f t="shared" ca="1" si="7"/>
        <v>Quá hạn</v>
      </c>
      <c r="Y13" s="43" t="str">
        <f t="shared" ca="1" si="8"/>
        <v/>
      </c>
      <c r="Z13" s="39" t="str">
        <f>IFERROR(VLOOKUP(AA13,#REF!,2,0),"")</f>
        <v/>
      </c>
      <c r="AA13" s="37"/>
      <c r="AB13" s="14"/>
      <c r="AD13" s="43" t="str">
        <f t="shared" ca="1" si="9"/>
        <v>Quá hạn</v>
      </c>
      <c r="AE13" s="39"/>
      <c r="AF13" s="37"/>
      <c r="AI13" s="43" t="str">
        <f t="shared" ca="1" si="10"/>
        <v>Quá hạn</v>
      </c>
      <c r="AN13" s="49">
        <f t="shared" si="11"/>
        <v>33</v>
      </c>
      <c r="BA13" s="12" t="str">
        <f t="shared" si="12"/>
        <v>chưa PS</v>
      </c>
      <c r="BD13" s="12">
        <f t="shared" ca="1" si="1"/>
        <v>43150</v>
      </c>
      <c r="BE13" s="12"/>
      <c r="BF13" s="12">
        <f t="shared" ca="1" si="13"/>
        <v>43150</v>
      </c>
      <c r="BG13" s="9" t="str">
        <f t="shared" ca="1" si="2"/>
        <v>Quá hạn</v>
      </c>
      <c r="BH13" s="9"/>
      <c r="BI13" s="9"/>
      <c r="BJ13" s="9"/>
      <c r="BK13" s="9"/>
    </row>
    <row r="14" spans="2:63" x14ac:dyDescent="0.25">
      <c r="B14" s="9" t="str">
        <f t="shared" si="3"/>
        <v>DLK</v>
      </c>
      <c r="C14" s="1" t="s">
        <v>34</v>
      </c>
      <c r="D14" s="9" t="s">
        <v>135</v>
      </c>
      <c r="F14" s="37" t="s">
        <v>15</v>
      </c>
      <c r="G14" s="37" t="s">
        <v>1</v>
      </c>
      <c r="H14" s="37" t="s">
        <v>2</v>
      </c>
      <c r="I14" s="37">
        <v>600</v>
      </c>
      <c r="J14" s="9">
        <v>60</v>
      </c>
      <c r="K14" s="37" t="s">
        <v>11</v>
      </c>
      <c r="L14" s="39">
        <f t="shared" si="0"/>
        <v>45</v>
      </c>
      <c r="M14" s="39">
        <f t="shared" si="4"/>
        <v>12</v>
      </c>
      <c r="N14" s="39">
        <f t="shared" si="5"/>
        <v>23</v>
      </c>
      <c r="O14" s="39">
        <f t="shared" si="6"/>
        <v>30</v>
      </c>
      <c r="P14" s="37" t="s">
        <v>90</v>
      </c>
      <c r="Q14" s="10">
        <v>42998</v>
      </c>
      <c r="R14" s="10">
        <f t="shared" si="14"/>
        <v>43005</v>
      </c>
      <c r="S14" s="12"/>
      <c r="T14" s="43" t="str">
        <f>IFERROR(VLOOKUP(U14,#REF!,2,0),"")</f>
        <v/>
      </c>
      <c r="V14" s="43" t="str">
        <f t="shared" ca="1" si="7"/>
        <v>Đã khởi công</v>
      </c>
      <c r="W14" s="10">
        <v>43040</v>
      </c>
      <c r="Y14" s="43" t="str">
        <f t="shared" ca="1" si="8"/>
        <v>Quá hạn</v>
      </c>
      <c r="Z14" s="39" t="str">
        <f>IFERROR(VLOOKUP(AA14,#REF!,2,0),"")</f>
        <v/>
      </c>
      <c r="AA14" s="37" t="s">
        <v>334</v>
      </c>
      <c r="AB14" s="14" t="s">
        <v>330</v>
      </c>
      <c r="AD14" s="43" t="str">
        <f t="shared" ca="1" si="9"/>
        <v>Quá hạn</v>
      </c>
      <c r="AE14" s="39"/>
      <c r="AF14" s="37"/>
      <c r="AI14" s="43" t="str">
        <f t="shared" ca="1" si="10"/>
        <v>Quá hạn</v>
      </c>
      <c r="AN14" s="49">
        <f t="shared" si="11"/>
        <v>33</v>
      </c>
      <c r="BA14" s="12" t="str">
        <f t="shared" si="12"/>
        <v>chưa PS</v>
      </c>
      <c r="BD14" s="12">
        <f t="shared" ca="1" si="1"/>
        <v>110</v>
      </c>
      <c r="BE14" s="12"/>
      <c r="BF14" s="12">
        <f t="shared" ca="1" si="13"/>
        <v>110</v>
      </c>
      <c r="BG14" s="9" t="str">
        <f t="shared" ca="1" si="2"/>
        <v>Quá hạn</v>
      </c>
      <c r="BH14" s="9"/>
      <c r="BI14" s="9"/>
      <c r="BJ14" s="9"/>
      <c r="BK14" s="9"/>
    </row>
    <row r="15" spans="2:63" x14ac:dyDescent="0.25">
      <c r="B15" s="9" t="str">
        <f t="shared" si="3"/>
        <v>DLK</v>
      </c>
      <c r="C15" s="1" t="s">
        <v>35</v>
      </c>
      <c r="D15" s="9" t="s">
        <v>136</v>
      </c>
      <c r="F15" s="37" t="s">
        <v>17</v>
      </c>
      <c r="G15" s="37" t="s">
        <v>1</v>
      </c>
      <c r="H15" s="37" t="s">
        <v>2</v>
      </c>
      <c r="I15" s="37">
        <v>600</v>
      </c>
      <c r="J15" s="9">
        <v>48</v>
      </c>
      <c r="K15" s="37" t="s">
        <v>12</v>
      </c>
      <c r="L15" s="39">
        <f t="shared" si="0"/>
        <v>45</v>
      </c>
      <c r="M15" s="39">
        <f t="shared" si="4"/>
        <v>10</v>
      </c>
      <c r="N15" s="39">
        <f t="shared" si="5"/>
        <v>20</v>
      </c>
      <c r="O15" s="39">
        <f t="shared" si="6"/>
        <v>1</v>
      </c>
      <c r="P15" s="37" t="s">
        <v>90</v>
      </c>
      <c r="R15" s="10"/>
      <c r="S15" s="12"/>
      <c r="T15" s="43" t="str">
        <f>IFERROR(VLOOKUP(U15,#REF!,2,0),"")</f>
        <v/>
      </c>
      <c r="V15" s="43" t="str">
        <f t="shared" ca="1" si="7"/>
        <v/>
      </c>
      <c r="Y15" s="43" t="str">
        <f t="shared" ca="1" si="8"/>
        <v/>
      </c>
      <c r="Z15" s="39" t="str">
        <f>IFERROR(VLOOKUP(AA15,#REF!,2,0),"")</f>
        <v/>
      </c>
      <c r="AA15" s="37"/>
      <c r="AB15" s="14"/>
      <c r="AD15" s="43" t="str">
        <f t="shared" ca="1" si="9"/>
        <v>Quá hạn</v>
      </c>
      <c r="AE15" s="39"/>
      <c r="AF15" s="37"/>
      <c r="AI15" s="43" t="str">
        <f t="shared" ca="1" si="10"/>
        <v>Quá hạn</v>
      </c>
      <c r="AN15" s="49">
        <f t="shared" si="11"/>
        <v>4</v>
      </c>
      <c r="BA15" s="12" t="str">
        <f t="shared" si="12"/>
        <v>chưa PS</v>
      </c>
      <c r="BD15" s="12">
        <f t="shared" ca="1" si="1"/>
        <v>43150</v>
      </c>
      <c r="BE15" s="12"/>
      <c r="BF15" s="12">
        <f t="shared" ca="1" si="13"/>
        <v>43150</v>
      </c>
      <c r="BG15" s="9" t="str">
        <f t="shared" ca="1" si="2"/>
        <v>Quá hạn</v>
      </c>
      <c r="BH15" s="9"/>
      <c r="BI15" s="9"/>
      <c r="BJ15" s="9"/>
      <c r="BK15" s="9"/>
    </row>
    <row r="16" spans="2:63" x14ac:dyDescent="0.25">
      <c r="B16" s="9" t="str">
        <f t="shared" si="3"/>
        <v>DLK</v>
      </c>
      <c r="C16" s="3" t="s">
        <v>36</v>
      </c>
      <c r="D16" s="9" t="s">
        <v>137</v>
      </c>
      <c r="F16" s="37" t="s">
        <v>17</v>
      </c>
      <c r="G16" s="37" t="s">
        <v>1</v>
      </c>
      <c r="H16" s="37" t="s">
        <v>2</v>
      </c>
      <c r="I16" s="37">
        <v>600</v>
      </c>
      <c r="J16" s="9">
        <v>48</v>
      </c>
      <c r="K16" s="37" t="s">
        <v>12</v>
      </c>
      <c r="L16" s="39">
        <f t="shared" si="0"/>
        <v>45</v>
      </c>
      <c r="M16" s="39">
        <f t="shared" si="4"/>
        <v>10</v>
      </c>
      <c r="N16" s="39">
        <f t="shared" si="5"/>
        <v>20</v>
      </c>
      <c r="O16" s="39">
        <f t="shared" si="6"/>
        <v>1</v>
      </c>
      <c r="P16" s="37" t="s">
        <v>90</v>
      </c>
      <c r="Q16" s="10">
        <v>42998</v>
      </c>
      <c r="R16" s="10">
        <f t="shared" si="14"/>
        <v>43005</v>
      </c>
      <c r="S16" s="12"/>
      <c r="T16" s="43" t="str">
        <f>IFERROR(VLOOKUP(U16,#REF!,2,0),"")</f>
        <v/>
      </c>
      <c r="V16" s="43" t="str">
        <f t="shared" ca="1" si="7"/>
        <v>Đã khởi công</v>
      </c>
      <c r="W16" s="10">
        <v>43060</v>
      </c>
      <c r="Y16" s="43" t="str">
        <f t="shared" ca="1" si="8"/>
        <v>Quá hạn</v>
      </c>
      <c r="Z16" s="39" t="str">
        <f>IFERROR(VLOOKUP(AA16,#REF!,2,0),"")</f>
        <v/>
      </c>
      <c r="AA16" s="37" t="s">
        <v>5</v>
      </c>
      <c r="AB16" s="14"/>
      <c r="AD16" s="43" t="str">
        <f t="shared" ca="1" si="9"/>
        <v>Quá hạn</v>
      </c>
      <c r="AE16" s="39"/>
      <c r="AF16" s="37"/>
      <c r="AI16" s="43" t="str">
        <f t="shared" ca="1" si="10"/>
        <v>Quá hạn</v>
      </c>
      <c r="AN16" s="49">
        <f t="shared" si="11"/>
        <v>4</v>
      </c>
      <c r="BA16" s="12" t="str">
        <f t="shared" si="12"/>
        <v>chưa PS</v>
      </c>
      <c r="BD16" s="12">
        <f t="shared" ca="1" si="1"/>
        <v>90</v>
      </c>
      <c r="BE16" s="12"/>
      <c r="BF16" s="12">
        <f t="shared" ca="1" si="13"/>
        <v>90</v>
      </c>
      <c r="BG16" s="9" t="str">
        <f t="shared" ca="1" si="2"/>
        <v>Quá hạn</v>
      </c>
      <c r="BH16" s="9"/>
      <c r="BI16" s="9"/>
      <c r="BJ16" s="9"/>
      <c r="BK16" s="9"/>
    </row>
    <row r="17" spans="2:63" x14ac:dyDescent="0.25">
      <c r="B17" s="9" t="str">
        <f t="shared" si="3"/>
        <v>DLK</v>
      </c>
      <c r="C17" s="3" t="s">
        <v>37</v>
      </c>
      <c r="D17" s="9" t="s">
        <v>138</v>
      </c>
      <c r="F17" s="37" t="s">
        <v>15</v>
      </c>
      <c r="G17" s="37" t="s">
        <v>1</v>
      </c>
      <c r="H17" s="37" t="s">
        <v>2</v>
      </c>
      <c r="I17" s="37">
        <v>600</v>
      </c>
      <c r="J17" s="9">
        <v>18</v>
      </c>
      <c r="K17" s="37" t="s">
        <v>12</v>
      </c>
      <c r="L17" s="39">
        <f t="shared" si="0"/>
        <v>45</v>
      </c>
      <c r="M17" s="39">
        <f t="shared" si="4"/>
        <v>7</v>
      </c>
      <c r="N17" s="39">
        <f t="shared" si="5"/>
        <v>14</v>
      </c>
      <c r="O17" s="39">
        <f t="shared" si="6"/>
        <v>1</v>
      </c>
      <c r="P17" s="37" t="s">
        <v>90</v>
      </c>
      <c r="Q17" s="10">
        <v>42998</v>
      </c>
      <c r="R17" s="10">
        <f t="shared" si="14"/>
        <v>43005</v>
      </c>
      <c r="S17" s="12"/>
      <c r="T17" s="43" t="str">
        <f>IFERROR(VLOOKUP(U17,#REF!,2,0),"")</f>
        <v/>
      </c>
      <c r="U17" s="41" t="s">
        <v>8</v>
      </c>
      <c r="V17" s="43" t="str">
        <f t="shared" ca="1" si="7"/>
        <v>Quá hạn</v>
      </c>
      <c r="Y17" s="43" t="str">
        <f t="shared" ca="1" si="8"/>
        <v/>
      </c>
      <c r="Z17" s="39" t="str">
        <f>IFERROR(VLOOKUP(AA17,#REF!,2,0),"")</f>
        <v/>
      </c>
      <c r="AA17" s="37"/>
      <c r="AB17" s="14"/>
      <c r="AD17" s="43" t="str">
        <f t="shared" ca="1" si="9"/>
        <v>Quá hạn</v>
      </c>
      <c r="AE17" s="39"/>
      <c r="AF17" s="37"/>
      <c r="AI17" s="43" t="str">
        <f t="shared" ca="1" si="10"/>
        <v>Quá hạn</v>
      </c>
      <c r="AN17" s="49">
        <f t="shared" si="11"/>
        <v>4</v>
      </c>
      <c r="BA17" s="12" t="str">
        <f t="shared" si="12"/>
        <v>chưa PS</v>
      </c>
      <c r="BD17" s="12">
        <f t="shared" ca="1" si="1"/>
        <v>43150</v>
      </c>
      <c r="BE17" s="12"/>
      <c r="BF17" s="12">
        <f t="shared" ca="1" si="13"/>
        <v>43150</v>
      </c>
      <c r="BG17" s="9" t="str">
        <f t="shared" ca="1" si="2"/>
        <v>Quá hạn</v>
      </c>
      <c r="BH17" s="9"/>
      <c r="BI17" s="9"/>
      <c r="BJ17" s="9"/>
      <c r="BK17" s="9"/>
    </row>
    <row r="18" spans="2:63" x14ac:dyDescent="0.25">
      <c r="B18" s="9" t="str">
        <f t="shared" si="3"/>
        <v>DLK</v>
      </c>
      <c r="C18" s="3" t="s">
        <v>38</v>
      </c>
      <c r="D18" s="9" t="s">
        <v>139</v>
      </c>
      <c r="F18" s="37" t="s">
        <v>15</v>
      </c>
      <c r="G18" s="37" t="s">
        <v>1</v>
      </c>
      <c r="H18" s="37" t="s">
        <v>2</v>
      </c>
      <c r="I18" s="37">
        <v>600</v>
      </c>
      <c r="J18" s="9">
        <v>18</v>
      </c>
      <c r="L18" s="39">
        <f t="shared" si="0"/>
        <v>45</v>
      </c>
      <c r="M18" s="39">
        <f t="shared" si="4"/>
        <v>7</v>
      </c>
      <c r="N18" s="39">
        <f t="shared" si="5"/>
        <v>14</v>
      </c>
      <c r="O18" s="39" t="str">
        <f t="shared" si="6"/>
        <v>Kiểm tra loại nhà</v>
      </c>
      <c r="P18" s="37" t="s">
        <v>90</v>
      </c>
      <c r="R18" s="10">
        <f t="shared" si="14"/>
        <v>7</v>
      </c>
      <c r="S18" s="12"/>
      <c r="T18" s="43" t="str">
        <f>IFERROR(VLOOKUP(U18,#REF!,2,0),"")</f>
        <v/>
      </c>
      <c r="V18" s="43" t="str">
        <f t="shared" ca="1" si="7"/>
        <v/>
      </c>
      <c r="Y18" s="43" t="str">
        <f t="shared" ca="1" si="8"/>
        <v/>
      </c>
      <c r="Z18" s="39" t="str">
        <f>IFERROR(VLOOKUP(AA18,#REF!,2,0),"")</f>
        <v/>
      </c>
      <c r="AA18" s="37"/>
      <c r="AB18" s="14"/>
      <c r="AD18" s="43" t="str">
        <f t="shared" ca="1" si="9"/>
        <v>Quá hạn</v>
      </c>
      <c r="AE18" s="39"/>
      <c r="AF18" s="37"/>
      <c r="AI18" s="43" t="str">
        <f t="shared" ca="1" si="10"/>
        <v/>
      </c>
      <c r="AN18" s="49" t="e">
        <f t="shared" si="11"/>
        <v>#VALUE!</v>
      </c>
      <c r="BA18" s="12" t="str">
        <f t="shared" si="12"/>
        <v>chưa PS</v>
      </c>
      <c r="BD18" s="12">
        <f t="shared" ca="1" si="1"/>
        <v>43150</v>
      </c>
      <c r="BE18" s="12"/>
      <c r="BF18" s="12">
        <f t="shared" ca="1" si="13"/>
        <v>43150</v>
      </c>
      <c r="BG18" s="9" t="str">
        <f t="shared" ca="1" si="2"/>
        <v>Quá hạn</v>
      </c>
      <c r="BH18" s="9"/>
      <c r="BI18" s="9"/>
      <c r="BJ18" s="9"/>
      <c r="BK18" s="9"/>
    </row>
    <row r="19" spans="2:63" x14ac:dyDescent="0.25">
      <c r="B19" s="9" t="str">
        <f t="shared" si="3"/>
        <v>DLK</v>
      </c>
      <c r="C19" s="3" t="s">
        <v>39</v>
      </c>
      <c r="D19" s="9" t="s">
        <v>140</v>
      </c>
      <c r="F19" s="37" t="s">
        <v>15</v>
      </c>
      <c r="G19" s="37" t="s">
        <v>1</v>
      </c>
      <c r="H19" s="37" t="s">
        <v>2</v>
      </c>
      <c r="I19" s="37">
        <v>600</v>
      </c>
      <c r="J19" s="9">
        <v>42</v>
      </c>
      <c r="K19" s="37" t="s">
        <v>12</v>
      </c>
      <c r="L19" s="39">
        <f t="shared" si="0"/>
        <v>45</v>
      </c>
      <c r="M19" s="39">
        <f t="shared" si="4"/>
        <v>10</v>
      </c>
      <c r="N19" s="39">
        <f t="shared" si="5"/>
        <v>20</v>
      </c>
      <c r="O19" s="39">
        <f t="shared" si="6"/>
        <v>1</v>
      </c>
      <c r="P19" s="37" t="s">
        <v>90</v>
      </c>
      <c r="Q19" s="10">
        <v>42996</v>
      </c>
      <c r="R19" s="10">
        <f t="shared" si="14"/>
        <v>43003</v>
      </c>
      <c r="S19" s="12"/>
      <c r="T19" s="43" t="str">
        <f>IFERROR(VLOOKUP(U19,#REF!,2,0),"")</f>
        <v/>
      </c>
      <c r="U19" s="41" t="s">
        <v>336</v>
      </c>
      <c r="V19" s="43" t="str">
        <f t="shared" ca="1" si="7"/>
        <v>Quá hạn</v>
      </c>
      <c r="Y19" s="43" t="str">
        <f t="shared" ca="1" si="8"/>
        <v/>
      </c>
      <c r="Z19" s="39" t="str">
        <f>IFERROR(VLOOKUP(AA19,#REF!,2,0),"")</f>
        <v/>
      </c>
      <c r="AA19" s="37"/>
      <c r="AB19" s="14"/>
      <c r="AD19" s="43" t="str">
        <f t="shared" ca="1" si="9"/>
        <v>Quá hạn</v>
      </c>
      <c r="AE19" s="39"/>
      <c r="AF19" s="37"/>
      <c r="AI19" s="43" t="str">
        <f t="shared" ca="1" si="10"/>
        <v>Quá hạn</v>
      </c>
      <c r="AN19" s="49">
        <f t="shared" si="11"/>
        <v>4</v>
      </c>
      <c r="BA19" s="12" t="str">
        <f t="shared" si="12"/>
        <v>chưa PS</v>
      </c>
      <c r="BD19" s="12">
        <f t="shared" ca="1" si="1"/>
        <v>43150</v>
      </c>
      <c r="BE19" s="12"/>
      <c r="BF19" s="12">
        <f t="shared" ca="1" si="13"/>
        <v>43150</v>
      </c>
      <c r="BG19" s="9" t="str">
        <f t="shared" ca="1" si="2"/>
        <v>Quá hạn</v>
      </c>
      <c r="BH19" s="9"/>
      <c r="BI19" s="9"/>
      <c r="BJ19" s="9"/>
      <c r="BK19" s="9"/>
    </row>
    <row r="20" spans="2:63" x14ac:dyDescent="0.25">
      <c r="B20" s="9" t="str">
        <f t="shared" si="3"/>
        <v>DNG</v>
      </c>
      <c r="C20" s="1" t="s">
        <v>40</v>
      </c>
      <c r="D20" s="9" t="s">
        <v>141</v>
      </c>
      <c r="F20" s="37" t="s">
        <v>17</v>
      </c>
      <c r="G20" s="37" t="s">
        <v>0</v>
      </c>
      <c r="H20" s="37" t="s">
        <v>2</v>
      </c>
      <c r="I20" s="37" t="s">
        <v>10</v>
      </c>
      <c r="J20" s="9">
        <v>6</v>
      </c>
      <c r="K20" s="37" t="s">
        <v>13</v>
      </c>
      <c r="L20" s="39">
        <f t="shared" si="0"/>
        <v>30</v>
      </c>
      <c r="M20" s="39">
        <f t="shared" si="4"/>
        <v>5</v>
      </c>
      <c r="N20" s="39">
        <f t="shared" si="5"/>
        <v>10</v>
      </c>
      <c r="O20" s="39">
        <f t="shared" si="6"/>
        <v>25</v>
      </c>
      <c r="P20" s="37" t="s">
        <v>90</v>
      </c>
      <c r="Q20" s="10">
        <v>43013</v>
      </c>
      <c r="S20" s="12"/>
      <c r="T20" s="43" t="str">
        <f>IFERROR(VLOOKUP(U20,#REF!,2,0),"")</f>
        <v/>
      </c>
      <c r="U20" s="41" t="s">
        <v>336</v>
      </c>
      <c r="V20" s="43" t="str">
        <f t="shared" ca="1" si="7"/>
        <v>Quá hạn</v>
      </c>
      <c r="Y20" s="43" t="str">
        <f t="shared" ca="1" si="8"/>
        <v/>
      </c>
      <c r="Z20" s="39" t="str">
        <f>IFERROR(VLOOKUP(AA20,#REF!,2,0),"")</f>
        <v/>
      </c>
      <c r="AA20" s="37"/>
      <c r="AB20" s="14"/>
      <c r="AD20" s="43" t="str">
        <f t="shared" ca="1" si="9"/>
        <v>Quá hạn</v>
      </c>
      <c r="AE20" s="39"/>
      <c r="AF20" s="37"/>
      <c r="AI20" s="43" t="str">
        <f t="shared" ca="1" si="10"/>
        <v>Quá hạn</v>
      </c>
      <c r="AN20" s="49">
        <f t="shared" si="11"/>
        <v>28</v>
      </c>
      <c r="BA20" s="12" t="str">
        <f t="shared" si="12"/>
        <v>chưa PS</v>
      </c>
      <c r="BD20" s="12">
        <f t="shared" ca="1" si="1"/>
        <v>43150</v>
      </c>
      <c r="BE20" s="12"/>
      <c r="BF20" s="12">
        <f t="shared" ca="1" si="13"/>
        <v>43150</v>
      </c>
      <c r="BG20" s="9" t="str">
        <f t="shared" ca="1" si="2"/>
        <v>Quá hạn</v>
      </c>
      <c r="BH20" s="9"/>
      <c r="BI20" s="9"/>
      <c r="BJ20" s="9"/>
      <c r="BK20" s="9"/>
    </row>
    <row r="21" spans="2:63" x14ac:dyDescent="0.25">
      <c r="B21" s="9" t="str">
        <f t="shared" si="3"/>
        <v>DNG</v>
      </c>
      <c r="C21" s="1" t="s">
        <v>41</v>
      </c>
      <c r="D21" s="9" t="s">
        <v>142</v>
      </c>
      <c r="F21" s="37" t="s">
        <v>15</v>
      </c>
      <c r="G21" s="37" t="s">
        <v>0</v>
      </c>
      <c r="H21" s="37" t="s">
        <v>2</v>
      </c>
      <c r="I21" s="37" t="s">
        <v>10</v>
      </c>
      <c r="J21" s="9">
        <v>6</v>
      </c>
      <c r="K21" s="37" t="s">
        <v>13</v>
      </c>
      <c r="L21" s="39">
        <f t="shared" si="0"/>
        <v>30</v>
      </c>
      <c r="M21" s="39">
        <f t="shared" si="4"/>
        <v>5</v>
      </c>
      <c r="N21" s="39">
        <f t="shared" si="5"/>
        <v>10</v>
      </c>
      <c r="O21" s="39">
        <f t="shared" si="6"/>
        <v>25</v>
      </c>
      <c r="P21" s="37" t="s">
        <v>90</v>
      </c>
      <c r="Q21" s="10">
        <v>43048</v>
      </c>
      <c r="S21" s="12"/>
      <c r="T21" s="43" t="str">
        <f>IFERROR(VLOOKUP(U21,#REF!,2,0),"")</f>
        <v/>
      </c>
      <c r="U21" s="41" t="s">
        <v>335</v>
      </c>
      <c r="V21" s="43" t="str">
        <f t="shared" ca="1" si="7"/>
        <v>Quá hạn</v>
      </c>
      <c r="Y21" s="43" t="str">
        <f t="shared" ca="1" si="8"/>
        <v/>
      </c>
      <c r="Z21" s="39" t="str">
        <f>IFERROR(VLOOKUP(AA21,#REF!,2,0),"")</f>
        <v/>
      </c>
      <c r="AA21" s="37"/>
      <c r="AB21" s="14"/>
      <c r="AD21" s="43" t="str">
        <f t="shared" ca="1" si="9"/>
        <v>Quá hạn</v>
      </c>
      <c r="AE21" s="39"/>
      <c r="AF21" s="37"/>
      <c r="AI21" s="43" t="str">
        <f t="shared" ca="1" si="10"/>
        <v>Quá hạn</v>
      </c>
      <c r="AN21" s="49">
        <f t="shared" si="11"/>
        <v>28</v>
      </c>
      <c r="BA21" s="12" t="str">
        <f t="shared" si="12"/>
        <v>chưa PS</v>
      </c>
      <c r="BD21" s="12">
        <f t="shared" ca="1" si="1"/>
        <v>43150</v>
      </c>
      <c r="BE21" s="12"/>
      <c r="BF21" s="12">
        <f t="shared" ca="1" si="13"/>
        <v>43150</v>
      </c>
      <c r="BG21" s="9" t="str">
        <f t="shared" ca="1" si="2"/>
        <v>Quá hạn</v>
      </c>
      <c r="BH21" s="9"/>
      <c r="BI21" s="9"/>
      <c r="BJ21" s="9"/>
      <c r="BK21" s="9"/>
    </row>
    <row r="22" spans="2:63" x14ac:dyDescent="0.25">
      <c r="B22" s="9" t="str">
        <f t="shared" si="3"/>
        <v>DNG</v>
      </c>
      <c r="C22" s="1" t="s">
        <v>42</v>
      </c>
      <c r="D22" s="9" t="s">
        <v>143</v>
      </c>
      <c r="F22" s="37" t="s">
        <v>15</v>
      </c>
      <c r="G22" s="37" t="s">
        <v>0</v>
      </c>
      <c r="H22" s="37" t="s">
        <v>2</v>
      </c>
      <c r="I22" s="37" t="s">
        <v>10</v>
      </c>
      <c r="J22" s="9">
        <v>5</v>
      </c>
      <c r="K22" s="37" t="s">
        <v>20</v>
      </c>
      <c r="L22" s="39">
        <f t="shared" si="0"/>
        <v>30</v>
      </c>
      <c r="M22" s="39">
        <f t="shared" si="4"/>
        <v>5</v>
      </c>
      <c r="N22" s="39">
        <f t="shared" si="5"/>
        <v>10</v>
      </c>
      <c r="O22" s="39">
        <f t="shared" si="6"/>
        <v>7</v>
      </c>
      <c r="P22" s="37" t="s">
        <v>90</v>
      </c>
      <c r="Q22" s="10">
        <v>43048</v>
      </c>
      <c r="S22" s="12"/>
      <c r="T22" s="43" t="str">
        <f>IFERROR(VLOOKUP(U22,#REF!,2,0),"")</f>
        <v/>
      </c>
      <c r="U22" s="41" t="s">
        <v>9</v>
      </c>
      <c r="V22" s="43" t="str">
        <f t="shared" ca="1" si="7"/>
        <v>Đã khởi công</v>
      </c>
      <c r="W22" s="10">
        <v>43053</v>
      </c>
      <c r="Y22" s="43" t="str">
        <f t="shared" ca="1" si="8"/>
        <v>Quá hạn</v>
      </c>
      <c r="Z22" s="39" t="str">
        <f>IFERROR(VLOOKUP(AA22,#REF!,2,0),"")</f>
        <v/>
      </c>
      <c r="AA22" s="37" t="s">
        <v>9</v>
      </c>
      <c r="AB22" s="14"/>
      <c r="AD22" s="43" t="str">
        <f t="shared" ca="1" si="9"/>
        <v>Quá hạn</v>
      </c>
      <c r="AE22" s="39"/>
      <c r="AF22" s="37"/>
      <c r="AI22" s="43" t="str">
        <f t="shared" ca="1" si="10"/>
        <v>Quá hạn</v>
      </c>
      <c r="AN22" s="49">
        <f t="shared" si="11"/>
        <v>10</v>
      </c>
      <c r="BA22" s="12" t="str">
        <f t="shared" si="12"/>
        <v>chưa PS</v>
      </c>
      <c r="BD22" s="12">
        <f t="shared" ca="1" si="1"/>
        <v>97</v>
      </c>
      <c r="BE22" s="12"/>
      <c r="BF22" s="12">
        <f t="shared" ca="1" si="13"/>
        <v>97</v>
      </c>
      <c r="BG22" s="9" t="str">
        <f t="shared" ca="1" si="2"/>
        <v>Quá hạn</v>
      </c>
      <c r="BH22" s="9"/>
      <c r="BI22" s="9"/>
      <c r="BJ22" s="9"/>
      <c r="BK22" s="9"/>
    </row>
    <row r="23" spans="2:63" x14ac:dyDescent="0.25">
      <c r="B23" s="9" t="str">
        <f t="shared" si="3"/>
        <v>DNG</v>
      </c>
      <c r="C23" s="3" t="s">
        <v>43</v>
      </c>
      <c r="D23" s="9" t="s">
        <v>144</v>
      </c>
      <c r="E23" s="9" t="s">
        <v>119</v>
      </c>
      <c r="F23" s="37" t="s">
        <v>15</v>
      </c>
      <c r="G23" s="37" t="s">
        <v>1</v>
      </c>
      <c r="H23" s="37" t="s">
        <v>2</v>
      </c>
      <c r="I23" s="37" t="s">
        <v>3</v>
      </c>
      <c r="J23" s="9">
        <v>54</v>
      </c>
      <c r="K23" s="37" t="s">
        <v>14</v>
      </c>
      <c r="L23" s="39">
        <f t="shared" si="0"/>
        <v>45</v>
      </c>
      <c r="M23" s="39">
        <f t="shared" si="4"/>
        <v>12</v>
      </c>
      <c r="N23" s="39">
        <f t="shared" si="5"/>
        <v>23</v>
      </c>
      <c r="O23" s="39">
        <f t="shared" si="6"/>
        <v>26</v>
      </c>
      <c r="P23" s="37" t="s">
        <v>90</v>
      </c>
      <c r="S23" s="12"/>
      <c r="T23" s="43" t="str">
        <f>IFERROR(VLOOKUP(U23,#REF!,2,0),"")</f>
        <v/>
      </c>
      <c r="V23" s="43" t="str">
        <f t="shared" ca="1" si="7"/>
        <v/>
      </c>
      <c r="X23" s="14" t="s">
        <v>3</v>
      </c>
      <c r="Y23" s="43" t="str">
        <f ca="1">IFERROR(IF(W23&lt;&gt;"",IF(X23="",IF(AND(X23="",TODAY()-W23-M23&gt;0),"Quá hạn","Trong hạn"),"Đã xong móng"),""),"")</f>
        <v/>
      </c>
      <c r="Z23" s="39" t="str">
        <f>IFERROR(VLOOKUP(AA23,#REF!,2,0),"")</f>
        <v/>
      </c>
      <c r="AA23" s="37"/>
      <c r="AB23" s="14"/>
      <c r="AD23" s="43" t="str">
        <f t="shared" ca="1" si="9"/>
        <v>Quá hạn</v>
      </c>
      <c r="AE23" s="39"/>
      <c r="AF23" s="37"/>
      <c r="AI23" s="43" t="str">
        <f t="shared" ca="1" si="10"/>
        <v>Quá hạn</v>
      </c>
      <c r="AN23" s="49">
        <f t="shared" si="11"/>
        <v>29</v>
      </c>
      <c r="BA23" s="12" t="str">
        <f t="shared" si="12"/>
        <v>chưa PS</v>
      </c>
      <c r="BD23" s="12">
        <f t="shared" ca="1" si="1"/>
        <v>43150</v>
      </c>
      <c r="BE23" s="12"/>
      <c r="BF23" s="12">
        <f t="shared" ca="1" si="13"/>
        <v>43150</v>
      </c>
      <c r="BG23" s="9" t="str">
        <f t="shared" ca="1" si="2"/>
        <v>Quá hạn</v>
      </c>
      <c r="BH23" s="9"/>
      <c r="BI23" s="9"/>
      <c r="BJ23" s="9"/>
      <c r="BK23" s="9"/>
    </row>
    <row r="24" spans="2:63" x14ac:dyDescent="0.25">
      <c r="B24" s="9" t="str">
        <f t="shared" si="3"/>
        <v>DNG</v>
      </c>
      <c r="C24" s="1" t="s">
        <v>44</v>
      </c>
      <c r="D24" s="9" t="s">
        <v>145</v>
      </c>
      <c r="F24" s="37" t="s">
        <v>15</v>
      </c>
      <c r="G24" s="37" t="s">
        <v>0</v>
      </c>
      <c r="H24" s="37" t="s">
        <v>2</v>
      </c>
      <c r="I24" s="37" t="s">
        <v>10</v>
      </c>
      <c r="J24" s="9">
        <v>5</v>
      </c>
      <c r="K24" s="37" t="s">
        <v>13</v>
      </c>
      <c r="L24" s="39">
        <f t="shared" si="0"/>
        <v>30</v>
      </c>
      <c r="M24" s="39">
        <f t="shared" si="4"/>
        <v>5</v>
      </c>
      <c r="N24" s="39">
        <f t="shared" si="5"/>
        <v>10</v>
      </c>
      <c r="O24" s="39">
        <f t="shared" si="6"/>
        <v>25</v>
      </c>
      <c r="P24" s="37" t="s">
        <v>90</v>
      </c>
      <c r="Q24" s="10">
        <v>43048</v>
      </c>
      <c r="S24" s="12"/>
      <c r="T24" s="43" t="str">
        <f>IFERROR(VLOOKUP(U24,#REF!,2,0),"")</f>
        <v/>
      </c>
      <c r="V24" s="43" t="str">
        <f t="shared" ca="1" si="7"/>
        <v>Đã khởi công</v>
      </c>
      <c r="W24" s="10">
        <v>43052</v>
      </c>
      <c r="X24" s="14">
        <v>43071</v>
      </c>
      <c r="Y24" s="43" t="str">
        <f t="shared" ca="1" si="8"/>
        <v>Đã xong móng</v>
      </c>
      <c r="Z24" s="39" t="str">
        <f>IFERROR(VLOOKUP(AA24,#REF!,2,0),"")</f>
        <v/>
      </c>
      <c r="AA24" s="37"/>
      <c r="AB24" s="14"/>
      <c r="AD24" s="43" t="str">
        <f t="shared" ca="1" si="9"/>
        <v>Quá hạn</v>
      </c>
      <c r="AE24" s="39"/>
      <c r="AF24" s="37"/>
      <c r="AI24" s="43" t="str">
        <f t="shared" ca="1" si="10"/>
        <v>Quá hạn</v>
      </c>
      <c r="AN24" s="49">
        <f t="shared" si="11"/>
        <v>28</v>
      </c>
      <c r="BA24" s="12" t="str">
        <f t="shared" si="12"/>
        <v>chưa PS</v>
      </c>
      <c r="BD24" s="12">
        <f t="shared" ca="1" si="1"/>
        <v>98</v>
      </c>
      <c r="BE24" s="12"/>
      <c r="BF24" s="12">
        <f t="shared" ca="1" si="13"/>
        <v>98</v>
      </c>
      <c r="BG24" s="9" t="str">
        <f t="shared" ca="1" si="2"/>
        <v>Quá hạn</v>
      </c>
      <c r="BH24" s="9"/>
      <c r="BI24" s="9"/>
      <c r="BJ24" s="9"/>
      <c r="BK24" s="9"/>
    </row>
    <row r="25" spans="2:63" x14ac:dyDescent="0.25">
      <c r="B25" s="9" t="str">
        <f t="shared" si="3"/>
        <v>GLI</v>
      </c>
      <c r="C25" s="1" t="s">
        <v>45</v>
      </c>
      <c r="D25" s="9" t="s">
        <v>146</v>
      </c>
      <c r="F25" s="37" t="s">
        <v>16</v>
      </c>
      <c r="G25" s="37" t="s">
        <v>1</v>
      </c>
      <c r="H25" s="37" t="s">
        <v>214</v>
      </c>
      <c r="I25" s="37">
        <v>600</v>
      </c>
      <c r="J25" s="9">
        <v>18</v>
      </c>
      <c r="K25" s="37" t="s">
        <v>12</v>
      </c>
      <c r="L25" s="39">
        <f t="shared" si="0"/>
        <v>60</v>
      </c>
      <c r="M25" s="39">
        <f t="shared" si="4"/>
        <v>7</v>
      </c>
      <c r="N25" s="39">
        <f t="shared" si="5"/>
        <v>14</v>
      </c>
      <c r="O25" s="39">
        <f t="shared" si="6"/>
        <v>1</v>
      </c>
      <c r="P25" s="37" t="s">
        <v>90</v>
      </c>
      <c r="Q25" s="10">
        <v>42992</v>
      </c>
      <c r="S25" s="12"/>
      <c r="T25" s="43" t="str">
        <f>IFERROR(VLOOKUP(U25,#REF!,2,0),"")</f>
        <v/>
      </c>
      <c r="U25" s="41" t="s">
        <v>338</v>
      </c>
      <c r="V25" s="43" t="str">
        <f t="shared" ca="1" si="7"/>
        <v>Quá hạn</v>
      </c>
      <c r="Y25" s="43" t="str">
        <f t="shared" ca="1" si="8"/>
        <v/>
      </c>
      <c r="Z25" s="39" t="str">
        <f>IFERROR(VLOOKUP(AA25,#REF!,2,0),"")</f>
        <v/>
      </c>
      <c r="AA25" s="37"/>
      <c r="AB25" s="14"/>
      <c r="AD25" s="43" t="str">
        <f t="shared" ca="1" si="9"/>
        <v>Quá hạn</v>
      </c>
      <c r="AE25" s="39"/>
      <c r="AF25" s="37"/>
      <c r="AI25" s="43" t="str">
        <f t="shared" ca="1" si="10"/>
        <v>Quá hạn</v>
      </c>
      <c r="AN25" s="49">
        <f t="shared" si="11"/>
        <v>4</v>
      </c>
      <c r="BA25" s="12" t="str">
        <f t="shared" si="12"/>
        <v>chưa PS</v>
      </c>
      <c r="BD25" s="12">
        <f t="shared" ca="1" si="1"/>
        <v>43150</v>
      </c>
      <c r="BE25" s="12"/>
      <c r="BF25" s="12">
        <f t="shared" ca="1" si="13"/>
        <v>43150</v>
      </c>
      <c r="BG25" s="9" t="str">
        <f t="shared" ca="1" si="2"/>
        <v>Quá hạn</v>
      </c>
      <c r="BH25" s="9"/>
      <c r="BI25" s="9"/>
      <c r="BJ25" s="9"/>
      <c r="BK25" s="9"/>
    </row>
    <row r="26" spans="2:63" x14ac:dyDescent="0.25">
      <c r="B26" s="9" t="str">
        <f t="shared" si="3"/>
        <v>GLI</v>
      </c>
      <c r="C26" s="3" t="s">
        <v>46</v>
      </c>
      <c r="D26" s="9" t="s">
        <v>147</v>
      </c>
      <c r="F26" s="37" t="s">
        <v>15</v>
      </c>
      <c r="G26" s="37" t="s">
        <v>1</v>
      </c>
      <c r="H26" s="37" t="s">
        <v>214</v>
      </c>
      <c r="I26" s="37">
        <v>600</v>
      </c>
      <c r="J26" s="9">
        <v>30</v>
      </c>
      <c r="K26" s="37" t="s">
        <v>11</v>
      </c>
      <c r="L26" s="39">
        <f t="shared" si="0"/>
        <v>60</v>
      </c>
      <c r="M26" s="39">
        <f t="shared" si="4"/>
        <v>10</v>
      </c>
      <c r="N26" s="39">
        <f t="shared" si="5"/>
        <v>20</v>
      </c>
      <c r="O26" s="39">
        <f t="shared" si="6"/>
        <v>30</v>
      </c>
      <c r="P26" s="37" t="s">
        <v>90</v>
      </c>
      <c r="Q26" s="10">
        <v>42992</v>
      </c>
      <c r="S26" s="12"/>
      <c r="T26" s="43" t="str">
        <f>IFERROR(VLOOKUP(U26,#REF!,2,0),"")</f>
        <v/>
      </c>
      <c r="U26" s="41" t="s">
        <v>339</v>
      </c>
      <c r="V26" s="43" t="str">
        <f t="shared" ca="1" si="7"/>
        <v>Quá hạn</v>
      </c>
      <c r="Y26" s="43" t="str">
        <f t="shared" ca="1" si="8"/>
        <v/>
      </c>
      <c r="Z26" s="39" t="str">
        <f>IFERROR(VLOOKUP(AA26,#REF!,2,0),"")</f>
        <v/>
      </c>
      <c r="AA26" s="37"/>
      <c r="AB26" s="14"/>
      <c r="AD26" s="43" t="str">
        <f t="shared" ca="1" si="9"/>
        <v>Quá hạn</v>
      </c>
      <c r="AE26" s="39"/>
      <c r="AF26" s="37"/>
      <c r="AI26" s="43" t="str">
        <f t="shared" ca="1" si="10"/>
        <v>Quá hạn</v>
      </c>
      <c r="AN26" s="49">
        <f t="shared" si="11"/>
        <v>33</v>
      </c>
      <c r="BA26" s="12" t="str">
        <f t="shared" si="12"/>
        <v>chưa PS</v>
      </c>
      <c r="BD26" s="12">
        <f t="shared" ca="1" si="1"/>
        <v>43150</v>
      </c>
      <c r="BE26" s="12"/>
      <c r="BF26" s="12">
        <f t="shared" ca="1" si="13"/>
        <v>43150</v>
      </c>
      <c r="BG26" s="9" t="str">
        <f t="shared" ca="1" si="2"/>
        <v>Quá hạn</v>
      </c>
      <c r="BH26" s="9"/>
      <c r="BI26" s="9"/>
      <c r="BJ26" s="9"/>
      <c r="BK26" s="9"/>
    </row>
    <row r="27" spans="2:63" x14ac:dyDescent="0.25">
      <c r="B27" s="9" t="str">
        <f t="shared" si="3"/>
        <v>GLI</v>
      </c>
      <c r="C27" s="3" t="s">
        <v>47</v>
      </c>
      <c r="D27" s="9" t="s">
        <v>148</v>
      </c>
      <c r="F27" s="37" t="s">
        <v>16</v>
      </c>
      <c r="G27" s="37" t="s">
        <v>1</v>
      </c>
      <c r="H27" s="37" t="s">
        <v>214</v>
      </c>
      <c r="I27" s="37" t="s">
        <v>18</v>
      </c>
      <c r="J27" s="9">
        <v>18</v>
      </c>
      <c r="K27" s="37" t="s">
        <v>12</v>
      </c>
      <c r="L27" s="39">
        <f t="shared" si="0"/>
        <v>60</v>
      </c>
      <c r="M27" s="39">
        <f t="shared" si="4"/>
        <v>7</v>
      </c>
      <c r="N27" s="39">
        <f t="shared" si="5"/>
        <v>10</v>
      </c>
      <c r="O27" s="39">
        <f t="shared" si="6"/>
        <v>1</v>
      </c>
      <c r="P27" s="37" t="s">
        <v>90</v>
      </c>
      <c r="Q27" s="10">
        <v>42992</v>
      </c>
      <c r="R27" s="10">
        <v>42992</v>
      </c>
      <c r="S27" s="12"/>
      <c r="T27" s="43" t="str">
        <f>IFERROR(VLOOKUP(U27,#REF!,2,0),"")</f>
        <v/>
      </c>
      <c r="U27" s="41" t="s">
        <v>339</v>
      </c>
      <c r="V27" s="43" t="str">
        <f t="shared" ca="1" si="7"/>
        <v>Quá hạn</v>
      </c>
      <c r="Y27" s="43" t="str">
        <f t="shared" ca="1" si="8"/>
        <v/>
      </c>
      <c r="Z27" s="39" t="str">
        <f>IFERROR(VLOOKUP(AA27,#REF!,2,0),"")</f>
        <v/>
      </c>
      <c r="AA27" s="37"/>
      <c r="AB27" s="14" t="s">
        <v>333</v>
      </c>
      <c r="AD27" s="43" t="str">
        <f t="shared" ca="1" si="9"/>
        <v>Quá hạn</v>
      </c>
      <c r="AE27" s="39"/>
      <c r="AF27" s="37"/>
      <c r="AI27" s="43" t="str">
        <f t="shared" ca="1" si="10"/>
        <v>Quá hạn</v>
      </c>
      <c r="AN27" s="49">
        <f t="shared" si="11"/>
        <v>4</v>
      </c>
      <c r="BA27" s="12" t="str">
        <f t="shared" si="12"/>
        <v>chưa PS</v>
      </c>
      <c r="BD27" s="12">
        <f t="shared" ca="1" si="1"/>
        <v>43150</v>
      </c>
      <c r="BE27" s="12"/>
      <c r="BF27" s="12">
        <f t="shared" ca="1" si="13"/>
        <v>43150</v>
      </c>
      <c r="BG27" s="9" t="str">
        <f t="shared" ca="1" si="2"/>
        <v>Quá hạn</v>
      </c>
      <c r="BH27" s="9"/>
      <c r="BI27" s="9"/>
      <c r="BJ27" s="9"/>
      <c r="BK27" s="9"/>
    </row>
    <row r="28" spans="2:63" x14ac:dyDescent="0.25">
      <c r="B28" s="9" t="str">
        <f t="shared" si="3"/>
        <v>GLI</v>
      </c>
      <c r="C28" s="3" t="s">
        <v>48</v>
      </c>
      <c r="D28" s="9" t="s">
        <v>149</v>
      </c>
      <c r="F28" s="37" t="s">
        <v>16</v>
      </c>
      <c r="G28" s="37" t="s">
        <v>1</v>
      </c>
      <c r="H28" s="37" t="s">
        <v>214</v>
      </c>
      <c r="I28" s="37">
        <v>600</v>
      </c>
      <c r="J28" s="9">
        <v>18</v>
      </c>
      <c r="K28" s="37" t="s">
        <v>12</v>
      </c>
      <c r="L28" s="39">
        <f t="shared" si="0"/>
        <v>60</v>
      </c>
      <c r="M28" s="39">
        <f t="shared" si="4"/>
        <v>7</v>
      </c>
      <c r="N28" s="39">
        <f t="shared" si="5"/>
        <v>14</v>
      </c>
      <c r="O28" s="39">
        <f t="shared" si="6"/>
        <v>1</v>
      </c>
      <c r="P28" s="37" t="s">
        <v>90</v>
      </c>
      <c r="Q28" s="10">
        <v>42992</v>
      </c>
      <c r="S28" s="12"/>
      <c r="T28" s="43" t="str">
        <f>IFERROR(VLOOKUP(U28,#REF!,2,0),"")</f>
        <v/>
      </c>
      <c r="U28" s="41" t="s">
        <v>337</v>
      </c>
      <c r="V28" s="43" t="str">
        <f t="shared" ca="1" si="7"/>
        <v>Quá hạn</v>
      </c>
      <c r="Y28" s="43" t="str">
        <f t="shared" ca="1" si="8"/>
        <v/>
      </c>
      <c r="Z28" s="39" t="str">
        <f>IFERROR(VLOOKUP(AA28,#REF!,2,0),"")</f>
        <v/>
      </c>
      <c r="AA28" s="37"/>
      <c r="AB28" s="14"/>
      <c r="AD28" s="43" t="str">
        <f t="shared" ca="1" si="9"/>
        <v>Quá hạn</v>
      </c>
      <c r="AE28" s="39"/>
      <c r="AF28" s="37"/>
      <c r="AI28" s="43" t="str">
        <f t="shared" ca="1" si="10"/>
        <v>Quá hạn</v>
      </c>
      <c r="AN28" s="49">
        <f t="shared" si="11"/>
        <v>4</v>
      </c>
      <c r="BA28" s="12" t="str">
        <f t="shared" si="12"/>
        <v>chưa PS</v>
      </c>
      <c r="BD28" s="12">
        <f t="shared" ca="1" si="1"/>
        <v>43150</v>
      </c>
      <c r="BE28" s="12"/>
      <c r="BF28" s="12">
        <f t="shared" ca="1" si="13"/>
        <v>43150</v>
      </c>
      <c r="BG28" s="9" t="str">
        <f t="shared" ca="1" si="2"/>
        <v>Quá hạn</v>
      </c>
      <c r="BH28" s="9"/>
      <c r="BI28" s="9"/>
      <c r="BJ28" s="9"/>
      <c r="BK28" s="9"/>
    </row>
    <row r="29" spans="2:63" x14ac:dyDescent="0.25">
      <c r="B29" s="9" t="str">
        <f t="shared" si="3"/>
        <v>GLI</v>
      </c>
      <c r="C29" s="3" t="s">
        <v>49</v>
      </c>
      <c r="D29" s="9" t="s">
        <v>150</v>
      </c>
      <c r="F29" s="37" t="s">
        <v>15</v>
      </c>
      <c r="G29" s="37" t="s">
        <v>1</v>
      </c>
      <c r="H29" s="37" t="s">
        <v>2</v>
      </c>
      <c r="I29" s="37">
        <v>600</v>
      </c>
      <c r="J29" s="9">
        <v>48</v>
      </c>
      <c r="K29" s="37" t="s">
        <v>11</v>
      </c>
      <c r="L29" s="39">
        <f t="shared" si="0"/>
        <v>45</v>
      </c>
      <c r="M29" s="39">
        <f t="shared" si="4"/>
        <v>10</v>
      </c>
      <c r="N29" s="39">
        <f t="shared" si="5"/>
        <v>20</v>
      </c>
      <c r="O29" s="39">
        <f t="shared" si="6"/>
        <v>30</v>
      </c>
      <c r="P29" s="37" t="s">
        <v>90</v>
      </c>
      <c r="Q29" s="10">
        <v>43025</v>
      </c>
      <c r="R29" s="10">
        <f>Q29+7</f>
        <v>43032</v>
      </c>
      <c r="S29" s="12"/>
      <c r="T29" s="43" t="str">
        <f>IFERROR(VLOOKUP(U29,#REF!,2,0),"")</f>
        <v/>
      </c>
      <c r="U29" s="41" t="s">
        <v>336</v>
      </c>
      <c r="V29" s="43" t="str">
        <f t="shared" ca="1" si="7"/>
        <v>Đã khởi công</v>
      </c>
      <c r="W29" s="10">
        <v>43045</v>
      </c>
      <c r="Y29" s="43" t="str">
        <f t="shared" ca="1" si="8"/>
        <v>Quá hạn</v>
      </c>
      <c r="Z29" s="39" t="str">
        <f>IFERROR(VLOOKUP(AA29,#REF!,2,0),"")</f>
        <v/>
      </c>
      <c r="AA29" s="37" t="s">
        <v>335</v>
      </c>
      <c r="AB29" s="14">
        <v>43056</v>
      </c>
      <c r="AD29" s="43" t="str">
        <f t="shared" ca="1" si="9"/>
        <v>Quá hạn</v>
      </c>
      <c r="AE29" s="39"/>
      <c r="AF29" s="37"/>
      <c r="AI29" s="43" t="str">
        <f t="shared" ca="1" si="10"/>
        <v>Quá hạn</v>
      </c>
      <c r="AN29" s="49">
        <f t="shared" si="11"/>
        <v>33</v>
      </c>
      <c r="BA29" s="12" t="str">
        <f t="shared" si="12"/>
        <v>chưa PS</v>
      </c>
      <c r="BD29" s="12">
        <f t="shared" ca="1" si="1"/>
        <v>105</v>
      </c>
      <c r="BE29" s="12"/>
      <c r="BF29" s="12">
        <f t="shared" ca="1" si="13"/>
        <v>105</v>
      </c>
      <c r="BG29" s="9" t="str">
        <f t="shared" ca="1" si="2"/>
        <v>Quá hạn</v>
      </c>
      <c r="BH29" s="9"/>
      <c r="BI29" s="9"/>
      <c r="BJ29" s="9"/>
      <c r="BK29" s="9"/>
    </row>
    <row r="30" spans="2:63" x14ac:dyDescent="0.25">
      <c r="B30" s="9" t="str">
        <f t="shared" si="3"/>
        <v>KHA</v>
      </c>
      <c r="C30" s="3" t="s">
        <v>50</v>
      </c>
      <c r="D30" s="9" t="s">
        <v>151</v>
      </c>
      <c r="F30" s="37" t="s">
        <v>17</v>
      </c>
      <c r="G30" s="37" t="s">
        <v>1</v>
      </c>
      <c r="H30" s="37" t="s">
        <v>2</v>
      </c>
      <c r="I30" s="37">
        <v>600</v>
      </c>
      <c r="J30" s="9">
        <v>42</v>
      </c>
      <c r="K30" s="37" t="s">
        <v>13</v>
      </c>
      <c r="L30" s="39">
        <f t="shared" si="0"/>
        <v>45</v>
      </c>
      <c r="M30" s="39">
        <f t="shared" si="4"/>
        <v>10</v>
      </c>
      <c r="N30" s="39">
        <f t="shared" si="5"/>
        <v>20</v>
      </c>
      <c r="O30" s="39">
        <f t="shared" si="6"/>
        <v>30</v>
      </c>
      <c r="P30" s="37" t="s">
        <v>90</v>
      </c>
      <c r="Q30" s="10">
        <v>42871</v>
      </c>
      <c r="S30" s="12"/>
      <c r="T30" s="43" t="str">
        <f>IFERROR(VLOOKUP(U30,#REF!,2,0),"")</f>
        <v/>
      </c>
      <c r="V30" s="43" t="str">
        <f t="shared" ca="1" si="7"/>
        <v>Đã khởi công</v>
      </c>
      <c r="W30" s="10">
        <v>42929</v>
      </c>
      <c r="X30" s="14">
        <v>42947</v>
      </c>
      <c r="Y30" s="43" t="str">
        <f t="shared" ca="1" si="8"/>
        <v>Đã xong móng</v>
      </c>
      <c r="Z30" s="39" t="str">
        <f>IFERROR(VLOOKUP(AA30,#REF!,2,0),"")</f>
        <v/>
      </c>
      <c r="AA30" s="37"/>
      <c r="AB30" s="14"/>
      <c r="AD30" s="43" t="str">
        <f t="shared" ca="1" si="9"/>
        <v>Quá hạn</v>
      </c>
      <c r="AE30" s="39"/>
      <c r="AF30" s="37"/>
      <c r="AI30" s="43" t="str">
        <f t="shared" ca="1" si="10"/>
        <v>Quá hạn</v>
      </c>
      <c r="AN30" s="49">
        <f t="shared" si="11"/>
        <v>33</v>
      </c>
      <c r="BA30" s="12" t="str">
        <f t="shared" si="12"/>
        <v>chưa PS</v>
      </c>
      <c r="BD30" s="12">
        <f t="shared" ca="1" si="1"/>
        <v>221</v>
      </c>
      <c r="BE30" s="12"/>
      <c r="BF30" s="12">
        <f t="shared" ca="1" si="13"/>
        <v>221</v>
      </c>
      <c r="BG30" s="9" t="str">
        <f t="shared" ca="1" si="2"/>
        <v>Quá hạn</v>
      </c>
      <c r="BH30" s="9"/>
      <c r="BI30" s="9"/>
      <c r="BJ30" s="9"/>
      <c r="BK30" s="9"/>
    </row>
    <row r="31" spans="2:63" x14ac:dyDescent="0.25">
      <c r="B31" s="9" t="str">
        <f t="shared" si="3"/>
        <v>KHA</v>
      </c>
      <c r="C31" s="3" t="s">
        <v>51</v>
      </c>
      <c r="D31" s="9" t="s">
        <v>152</v>
      </c>
      <c r="F31" s="37" t="s">
        <v>17</v>
      </c>
      <c r="G31" s="37" t="s">
        <v>1</v>
      </c>
      <c r="H31" s="37" t="s">
        <v>2</v>
      </c>
      <c r="I31" s="37">
        <v>600</v>
      </c>
      <c r="J31" s="9">
        <v>60</v>
      </c>
      <c r="K31" s="37" t="s">
        <v>13</v>
      </c>
      <c r="L31" s="39">
        <f t="shared" si="0"/>
        <v>45</v>
      </c>
      <c r="M31" s="39">
        <f t="shared" si="4"/>
        <v>12</v>
      </c>
      <c r="N31" s="39">
        <f t="shared" si="5"/>
        <v>23</v>
      </c>
      <c r="O31" s="39">
        <f t="shared" si="6"/>
        <v>30</v>
      </c>
      <c r="P31" s="37" t="s">
        <v>90</v>
      </c>
      <c r="Q31" s="10">
        <v>42866</v>
      </c>
      <c r="R31" s="10">
        <f>Q31+7</f>
        <v>42873</v>
      </c>
      <c r="S31" s="12"/>
      <c r="T31" s="43" t="str">
        <f>IFERROR(VLOOKUP(U31,#REF!,2,0),"")</f>
        <v/>
      </c>
      <c r="V31" s="43" t="str">
        <f t="shared" ca="1" si="7"/>
        <v>Đã khởi công</v>
      </c>
      <c r="W31" s="10">
        <v>42866</v>
      </c>
      <c r="X31" s="14">
        <v>42917</v>
      </c>
      <c r="Y31" s="43" t="str">
        <f t="shared" ca="1" si="8"/>
        <v>Đã xong móng</v>
      </c>
      <c r="Z31" s="39" t="str">
        <f>IFERROR(VLOOKUP(AA31,#REF!,2,0),"")</f>
        <v/>
      </c>
      <c r="AA31" s="37"/>
      <c r="AB31" s="14">
        <v>43000</v>
      </c>
      <c r="AD31" s="43" t="str">
        <f t="shared" ca="1" si="9"/>
        <v>Quá hạn</v>
      </c>
      <c r="AE31" s="39"/>
      <c r="AF31" s="37"/>
      <c r="AI31" s="43" t="str">
        <f t="shared" ca="1" si="10"/>
        <v>Quá hạn</v>
      </c>
      <c r="AN31" s="49">
        <f t="shared" si="11"/>
        <v>33</v>
      </c>
      <c r="BA31" s="12" t="str">
        <f t="shared" si="12"/>
        <v>chưa PS</v>
      </c>
      <c r="BD31" s="12">
        <f t="shared" ca="1" si="1"/>
        <v>284</v>
      </c>
      <c r="BE31" s="12"/>
      <c r="BF31" s="12">
        <f t="shared" ca="1" si="13"/>
        <v>284</v>
      </c>
      <c r="BG31" s="9" t="str">
        <f t="shared" ca="1" si="2"/>
        <v>Quá hạn</v>
      </c>
      <c r="BH31" s="9"/>
      <c r="BI31" s="9"/>
      <c r="BJ31" s="9"/>
      <c r="BK31" s="9"/>
    </row>
    <row r="32" spans="2:63" ht="15.75" x14ac:dyDescent="0.25">
      <c r="B32" s="9" t="str">
        <f t="shared" si="3"/>
        <v>KHA</v>
      </c>
      <c r="C32" s="1" t="s">
        <v>52</v>
      </c>
      <c r="D32" s="9" t="s">
        <v>153</v>
      </c>
      <c r="F32" s="37" t="s">
        <v>15</v>
      </c>
      <c r="G32" s="37" t="s">
        <v>1</v>
      </c>
      <c r="H32" s="37" t="s">
        <v>2</v>
      </c>
      <c r="I32" s="37" t="s">
        <v>18</v>
      </c>
      <c r="J32" s="9">
        <v>15</v>
      </c>
      <c r="K32" s="37" t="s">
        <v>11</v>
      </c>
      <c r="L32" s="39">
        <f t="shared" si="0"/>
        <v>45</v>
      </c>
      <c r="M32" s="39">
        <f t="shared" si="4"/>
        <v>7</v>
      </c>
      <c r="N32" s="39">
        <f t="shared" si="5"/>
        <v>10</v>
      </c>
      <c r="O32" s="39">
        <f t="shared" si="6"/>
        <v>30</v>
      </c>
      <c r="P32" s="37" t="s">
        <v>90</v>
      </c>
      <c r="Q32" s="10">
        <v>43052</v>
      </c>
      <c r="R32" s="10">
        <v>43052</v>
      </c>
      <c r="S32" s="12"/>
      <c r="V32" s="43" t="str">
        <f t="shared" ca="1" si="7"/>
        <v>Đã khởi công</v>
      </c>
      <c r="W32" s="10">
        <v>43075</v>
      </c>
      <c r="Y32" s="43" t="str">
        <f t="shared" ca="1" si="8"/>
        <v>Quá hạn</v>
      </c>
      <c r="Z32" s="39" t="str">
        <f>IFERROR(VLOOKUP(AA32,#REF!,2,0),"")</f>
        <v/>
      </c>
      <c r="AA32" s="37"/>
      <c r="AB32" s="14" t="s">
        <v>333</v>
      </c>
      <c r="AD32" s="43" t="str">
        <f t="shared" ca="1" si="9"/>
        <v>Quá hạn</v>
      </c>
      <c r="AE32" s="39"/>
      <c r="AF32" s="37"/>
      <c r="AI32" s="43" t="str">
        <f t="shared" ca="1" si="10"/>
        <v>Quá hạn</v>
      </c>
      <c r="AN32" s="49">
        <f t="shared" si="11"/>
        <v>33</v>
      </c>
      <c r="BA32" s="12" t="str">
        <f t="shared" si="12"/>
        <v>chưa PS</v>
      </c>
      <c r="BD32" s="12">
        <f t="shared" ca="1" si="1"/>
        <v>75</v>
      </c>
      <c r="BE32" s="12"/>
      <c r="BF32" s="12">
        <f t="shared" ca="1" si="13"/>
        <v>75</v>
      </c>
      <c r="BG32" s="9" t="str">
        <f t="shared" ca="1" si="2"/>
        <v>Quá hạn</v>
      </c>
      <c r="BH32" s="9"/>
      <c r="BI32" s="9"/>
      <c r="BJ32" s="9"/>
      <c r="BK32" s="35" t="s">
        <v>342</v>
      </c>
    </row>
    <row r="33" spans="2:63" x14ac:dyDescent="0.25">
      <c r="B33" s="9" t="str">
        <f t="shared" si="3"/>
        <v>KHA</v>
      </c>
      <c r="C33" s="1" t="s">
        <v>53</v>
      </c>
      <c r="D33" s="9" t="s">
        <v>154</v>
      </c>
      <c r="F33" s="37" t="s">
        <v>15</v>
      </c>
      <c r="G33" s="37" t="s">
        <v>1</v>
      </c>
      <c r="H33" s="37" t="s">
        <v>2</v>
      </c>
      <c r="I33" s="37">
        <v>600</v>
      </c>
      <c r="J33" s="9">
        <v>42</v>
      </c>
      <c r="K33" s="37" t="s">
        <v>12</v>
      </c>
      <c r="L33" s="39">
        <f t="shared" ref="L33:L64" si="15">IF(G33="Trên mái",30,IF(AND(G33="Dưới đất",H33="Đồng bằng"),45,IF(AND(G33="Dưới đất",H33="Miền núi"),60,IF(AND(G33="Cột tự đứng",H33="Ven biển"),150,"Kiểm tra lại lại trạm và địa hình"))))</f>
        <v>45</v>
      </c>
      <c r="M33" s="39">
        <f t="shared" si="4"/>
        <v>10</v>
      </c>
      <c r="N33" s="39">
        <f t="shared" si="5"/>
        <v>20</v>
      </c>
      <c r="O33" s="39">
        <f t="shared" si="6"/>
        <v>1</v>
      </c>
      <c r="P33" s="37" t="s">
        <v>90</v>
      </c>
      <c r="Q33" s="10">
        <v>42971</v>
      </c>
      <c r="R33" s="10">
        <f>Q33+7</f>
        <v>42978</v>
      </c>
      <c r="S33" s="12"/>
      <c r="T33" s="43" t="str">
        <f>IFERROR(VLOOKUP(U33,#REF!,2,0),"")</f>
        <v/>
      </c>
      <c r="V33" s="43" t="str">
        <f t="shared" ca="1" si="7"/>
        <v>Đã khởi công</v>
      </c>
      <c r="W33" s="10">
        <v>42978</v>
      </c>
      <c r="X33" s="14">
        <v>43027</v>
      </c>
      <c r="Y33" s="43" t="str">
        <f t="shared" ca="1" si="8"/>
        <v>Đã xong móng</v>
      </c>
      <c r="Z33" s="39" t="str">
        <f>IFERROR(VLOOKUP(AA33,#REF!,2,0),"")</f>
        <v/>
      </c>
      <c r="AA33" s="37"/>
      <c r="AB33" s="14" t="s">
        <v>330</v>
      </c>
      <c r="AD33" s="43" t="str">
        <f t="shared" ca="1" si="9"/>
        <v>Quá hạn</v>
      </c>
      <c r="AE33" s="39"/>
      <c r="AF33" s="37"/>
      <c r="AI33" s="43" t="str">
        <f t="shared" ca="1" si="10"/>
        <v>Quá hạn</v>
      </c>
      <c r="AN33" s="49">
        <f t="shared" si="11"/>
        <v>4</v>
      </c>
      <c r="BA33" s="12" t="str">
        <f t="shared" si="12"/>
        <v>chưa PS</v>
      </c>
      <c r="BD33" s="12">
        <f t="shared" ref="BD33:BD64" ca="1" si="16">IF(AZ33="",TODAY()-W33,AZ33-W33)</f>
        <v>172</v>
      </c>
      <c r="BE33" s="12"/>
      <c r="BF33" s="12">
        <f t="shared" ca="1" si="13"/>
        <v>172</v>
      </c>
      <c r="BG33" s="9" t="str">
        <f t="shared" ref="BG33:BG64" ca="1" si="17">IF(BF33&lt;L33,"Trong hạn","Quá hạn")</f>
        <v>Quá hạn</v>
      </c>
      <c r="BH33" s="9"/>
      <c r="BI33" s="9"/>
      <c r="BJ33" s="9"/>
      <c r="BK33" s="9"/>
    </row>
    <row r="34" spans="2:63" x14ac:dyDescent="0.25">
      <c r="B34" s="9" t="str">
        <f t="shared" si="3"/>
        <v>KHA</v>
      </c>
      <c r="C34" s="1" t="s">
        <v>54</v>
      </c>
      <c r="D34" s="9" t="s">
        <v>155</v>
      </c>
      <c r="F34" s="37" t="s">
        <v>15</v>
      </c>
      <c r="G34" s="37" t="s">
        <v>1</v>
      </c>
      <c r="H34" s="37" t="s">
        <v>2</v>
      </c>
      <c r="I34" s="37" t="s">
        <v>3</v>
      </c>
      <c r="J34" s="9">
        <v>48</v>
      </c>
      <c r="K34" s="37" t="s">
        <v>3</v>
      </c>
      <c r="L34" s="39">
        <f t="shared" si="15"/>
        <v>45</v>
      </c>
      <c r="M34" s="39">
        <f t="shared" si="4"/>
        <v>10</v>
      </c>
      <c r="N34" s="39">
        <f t="shared" si="5"/>
        <v>20</v>
      </c>
      <c r="O34" s="39">
        <f t="shared" si="6"/>
        <v>2</v>
      </c>
      <c r="P34" s="37" t="s">
        <v>90</v>
      </c>
      <c r="S34" s="12"/>
      <c r="T34" s="43" t="str">
        <f>IFERROR(VLOOKUP(U34,#REF!,2,0),"")</f>
        <v/>
      </c>
      <c r="V34" s="43" t="str">
        <f t="shared" ca="1" si="7"/>
        <v/>
      </c>
      <c r="X34" s="14" t="s">
        <v>3</v>
      </c>
      <c r="Y34" s="43" t="str">
        <f t="shared" ca="1" si="8"/>
        <v/>
      </c>
      <c r="Z34" s="39" t="str">
        <f>IFERROR(VLOOKUP(AA34,#REF!,2,0),"")</f>
        <v/>
      </c>
      <c r="AA34" s="37"/>
      <c r="AB34" s="14" t="s">
        <v>3</v>
      </c>
      <c r="AC34" s="14" t="s">
        <v>3</v>
      </c>
      <c r="AD34" s="43" t="str">
        <f t="shared" ca="1" si="9"/>
        <v>Đã xong cột</v>
      </c>
      <c r="AE34" s="39"/>
      <c r="AF34" s="37"/>
      <c r="AI34" s="43" t="str">
        <f t="shared" ca="1" si="10"/>
        <v>Quá hạn</v>
      </c>
      <c r="AN34" s="49">
        <f t="shared" si="11"/>
        <v>5</v>
      </c>
      <c r="BA34" s="12" t="str">
        <f t="shared" si="12"/>
        <v>chưa PS</v>
      </c>
      <c r="BD34" s="12">
        <f t="shared" ca="1" si="16"/>
        <v>43150</v>
      </c>
      <c r="BE34" s="12"/>
      <c r="BF34" s="12">
        <f t="shared" ca="1" si="13"/>
        <v>43150</v>
      </c>
      <c r="BG34" s="9" t="str">
        <f t="shared" ca="1" si="17"/>
        <v>Quá hạn</v>
      </c>
      <c r="BH34" s="9"/>
      <c r="BI34" s="9"/>
      <c r="BJ34" s="9"/>
      <c r="BK34" s="9"/>
    </row>
    <row r="35" spans="2:63" x14ac:dyDescent="0.25">
      <c r="B35" s="9" t="str">
        <f t="shared" si="3"/>
        <v>KTM</v>
      </c>
      <c r="C35" s="1" t="s">
        <v>55</v>
      </c>
      <c r="D35" s="9" t="s">
        <v>156</v>
      </c>
      <c r="F35" s="37" t="s">
        <v>15</v>
      </c>
      <c r="G35" s="37" t="s">
        <v>1</v>
      </c>
      <c r="H35" s="37" t="s">
        <v>2</v>
      </c>
      <c r="I35" s="37">
        <v>600</v>
      </c>
      <c r="J35" s="9">
        <v>60</v>
      </c>
      <c r="K35" s="37" t="s">
        <v>11</v>
      </c>
      <c r="L35" s="39">
        <f t="shared" si="15"/>
        <v>45</v>
      </c>
      <c r="M35" s="39">
        <f t="shared" si="4"/>
        <v>12</v>
      </c>
      <c r="N35" s="39">
        <f t="shared" si="5"/>
        <v>23</v>
      </c>
      <c r="O35" s="39">
        <f t="shared" si="6"/>
        <v>30</v>
      </c>
      <c r="P35" s="37" t="s">
        <v>90</v>
      </c>
      <c r="Q35" s="10">
        <v>42955</v>
      </c>
      <c r="R35" s="10">
        <f t="shared" ref="R35:R37" si="18">Q35+7</f>
        <v>42962</v>
      </c>
      <c r="S35" s="12"/>
      <c r="T35" s="43" t="str">
        <f>IFERROR(VLOOKUP(U35,#REF!,2,0),"")</f>
        <v/>
      </c>
      <c r="U35" s="41" t="s">
        <v>5</v>
      </c>
      <c r="V35" s="43" t="str">
        <f t="shared" ca="1" si="7"/>
        <v>Đã khởi công</v>
      </c>
      <c r="W35" s="10">
        <v>43001</v>
      </c>
      <c r="Y35" s="43" t="str">
        <f t="shared" ca="1" si="8"/>
        <v>Quá hạn</v>
      </c>
      <c r="Z35" s="39" t="str">
        <f>IFERROR(VLOOKUP(AA35,#REF!,2,0),"")</f>
        <v/>
      </c>
      <c r="AA35" s="41" t="s">
        <v>5</v>
      </c>
      <c r="AB35" s="14"/>
      <c r="AD35" s="43" t="str">
        <f t="shared" ca="1" si="9"/>
        <v>Quá hạn</v>
      </c>
      <c r="AE35" s="39"/>
      <c r="AF35" s="37"/>
      <c r="AI35" s="43" t="str">
        <f t="shared" ca="1" si="10"/>
        <v>Quá hạn</v>
      </c>
      <c r="AN35" s="49">
        <f t="shared" si="11"/>
        <v>33</v>
      </c>
      <c r="BA35" s="12" t="str">
        <f t="shared" si="12"/>
        <v>chưa PS</v>
      </c>
      <c r="BD35" s="12">
        <f t="shared" ca="1" si="16"/>
        <v>149</v>
      </c>
      <c r="BE35" s="12"/>
      <c r="BF35" s="12">
        <f t="shared" ca="1" si="13"/>
        <v>149</v>
      </c>
      <c r="BG35" s="9" t="str">
        <f t="shared" ca="1" si="17"/>
        <v>Quá hạn</v>
      </c>
      <c r="BH35" s="9"/>
      <c r="BI35" s="9"/>
      <c r="BJ35" s="9"/>
      <c r="BK35" s="9"/>
    </row>
    <row r="36" spans="2:63" x14ac:dyDescent="0.25">
      <c r="B36" s="9" t="str">
        <f t="shared" si="3"/>
        <v>KTM</v>
      </c>
      <c r="C36" s="1" t="s">
        <v>56</v>
      </c>
      <c r="D36" s="9" t="s">
        <v>157</v>
      </c>
      <c r="F36" s="37" t="s">
        <v>17</v>
      </c>
      <c r="G36" s="37" t="s">
        <v>1</v>
      </c>
      <c r="H36" s="37" t="s">
        <v>2</v>
      </c>
      <c r="I36" s="37">
        <v>600</v>
      </c>
      <c r="J36" s="9">
        <v>42</v>
      </c>
      <c r="K36" s="37" t="s">
        <v>12</v>
      </c>
      <c r="L36" s="39">
        <f t="shared" si="15"/>
        <v>45</v>
      </c>
      <c r="M36" s="39">
        <f t="shared" si="4"/>
        <v>10</v>
      </c>
      <c r="N36" s="39">
        <f t="shared" si="5"/>
        <v>20</v>
      </c>
      <c r="O36" s="39">
        <f t="shared" si="6"/>
        <v>1</v>
      </c>
      <c r="P36" s="37" t="s">
        <v>90</v>
      </c>
      <c r="Q36" s="10">
        <v>43019</v>
      </c>
      <c r="R36" s="10">
        <f t="shared" si="18"/>
        <v>43026</v>
      </c>
      <c r="S36" s="12"/>
      <c r="T36" s="43" t="str">
        <f>IFERROR(VLOOKUP(U36,#REF!,2,0),"")</f>
        <v/>
      </c>
      <c r="V36" s="43" t="str">
        <f t="shared" ca="1" si="7"/>
        <v>Đã khởi công</v>
      </c>
      <c r="W36" s="10">
        <v>43074</v>
      </c>
      <c r="Y36" s="43" t="str">
        <f t="shared" ca="1" si="8"/>
        <v>Quá hạn</v>
      </c>
      <c r="Z36" s="39" t="str">
        <f>IFERROR(VLOOKUP(AA36,#REF!,2,0),"")</f>
        <v/>
      </c>
      <c r="AA36" s="37"/>
      <c r="AB36" s="14" t="s">
        <v>330</v>
      </c>
      <c r="AD36" s="43" t="str">
        <f t="shared" ca="1" si="9"/>
        <v>Quá hạn</v>
      </c>
      <c r="AE36" s="39"/>
      <c r="AF36" s="37"/>
      <c r="AI36" s="43" t="str">
        <f t="shared" ca="1" si="10"/>
        <v>Quá hạn</v>
      </c>
      <c r="AN36" s="49">
        <f t="shared" si="11"/>
        <v>4</v>
      </c>
      <c r="BA36" s="12" t="str">
        <f t="shared" si="12"/>
        <v>chưa PS</v>
      </c>
      <c r="BD36" s="12">
        <f t="shared" ca="1" si="16"/>
        <v>76</v>
      </c>
      <c r="BE36" s="12"/>
      <c r="BF36" s="12">
        <f t="shared" ca="1" si="13"/>
        <v>76</v>
      </c>
      <c r="BG36" s="9" t="str">
        <f t="shared" ca="1" si="17"/>
        <v>Quá hạn</v>
      </c>
      <c r="BH36" s="9"/>
      <c r="BI36" s="9"/>
      <c r="BJ36" s="9"/>
      <c r="BK36" s="9"/>
    </row>
    <row r="37" spans="2:63" x14ac:dyDescent="0.25">
      <c r="B37" s="9" t="str">
        <f t="shared" si="3"/>
        <v>KTM</v>
      </c>
      <c r="C37" s="3" t="s">
        <v>57</v>
      </c>
      <c r="D37" s="9" t="s">
        <v>158</v>
      </c>
      <c r="F37" s="37" t="s">
        <v>17</v>
      </c>
      <c r="G37" s="37" t="s">
        <v>1</v>
      </c>
      <c r="H37" s="37" t="s">
        <v>2</v>
      </c>
      <c r="I37" s="37">
        <v>600</v>
      </c>
      <c r="J37" s="9">
        <v>42</v>
      </c>
      <c r="K37" s="37" t="s">
        <v>12</v>
      </c>
      <c r="L37" s="39">
        <f t="shared" si="15"/>
        <v>45</v>
      </c>
      <c r="M37" s="39">
        <f t="shared" si="4"/>
        <v>10</v>
      </c>
      <c r="N37" s="39">
        <f t="shared" si="5"/>
        <v>20</v>
      </c>
      <c r="O37" s="39">
        <f t="shared" si="6"/>
        <v>1</v>
      </c>
      <c r="P37" s="37" t="s">
        <v>90</v>
      </c>
      <c r="Q37" s="10">
        <v>43019</v>
      </c>
      <c r="R37" s="10">
        <f t="shared" si="18"/>
        <v>43026</v>
      </c>
      <c r="S37" s="12"/>
      <c r="T37" s="43" t="str">
        <f>IFERROR(VLOOKUP(U37,#REF!,2,0),"")</f>
        <v/>
      </c>
      <c r="U37" s="41" t="s">
        <v>335</v>
      </c>
      <c r="V37" s="43" t="str">
        <f t="shared" ca="1" si="7"/>
        <v>Quá hạn</v>
      </c>
      <c r="Y37" s="43" t="str">
        <f t="shared" ca="1" si="8"/>
        <v/>
      </c>
      <c r="Z37" s="39" t="str">
        <f>IFERROR(VLOOKUP(AA37,#REF!,2,0),"")</f>
        <v/>
      </c>
      <c r="AA37" s="37"/>
      <c r="AB37" s="14" t="s">
        <v>330</v>
      </c>
      <c r="AD37" s="43" t="str">
        <f t="shared" ca="1" si="9"/>
        <v>Quá hạn</v>
      </c>
      <c r="AE37" s="39"/>
      <c r="AF37" s="37"/>
      <c r="AI37" s="43" t="str">
        <f t="shared" ca="1" si="10"/>
        <v>Quá hạn</v>
      </c>
      <c r="AN37" s="49">
        <f t="shared" si="11"/>
        <v>4</v>
      </c>
      <c r="BA37" s="12" t="str">
        <f t="shared" si="12"/>
        <v>chưa PS</v>
      </c>
      <c r="BD37" s="12">
        <f t="shared" ca="1" si="16"/>
        <v>43150</v>
      </c>
      <c r="BE37" s="12"/>
      <c r="BF37" s="12">
        <f t="shared" ca="1" si="13"/>
        <v>43150</v>
      </c>
      <c r="BG37" s="9" t="str">
        <f t="shared" ca="1" si="17"/>
        <v>Quá hạn</v>
      </c>
      <c r="BH37" s="9"/>
      <c r="BI37" s="9"/>
      <c r="BJ37" s="9"/>
      <c r="BK37" s="9"/>
    </row>
    <row r="38" spans="2:63" x14ac:dyDescent="0.25">
      <c r="B38" s="9" t="str">
        <f t="shared" si="3"/>
        <v>KTM</v>
      </c>
      <c r="C38" s="3" t="s">
        <v>58</v>
      </c>
      <c r="D38" s="9" t="s">
        <v>159</v>
      </c>
      <c r="F38" s="37" t="s">
        <v>15</v>
      </c>
      <c r="G38" s="37" t="s">
        <v>1</v>
      </c>
      <c r="H38" s="37" t="s">
        <v>2</v>
      </c>
      <c r="I38" s="37">
        <v>600</v>
      </c>
      <c r="J38" s="9">
        <v>42</v>
      </c>
      <c r="K38" s="37" t="s">
        <v>12</v>
      </c>
      <c r="L38" s="39">
        <f t="shared" si="15"/>
        <v>45</v>
      </c>
      <c r="M38" s="39">
        <f t="shared" si="4"/>
        <v>10</v>
      </c>
      <c r="N38" s="39">
        <f t="shared" si="5"/>
        <v>20</v>
      </c>
      <c r="O38" s="39">
        <f t="shared" si="6"/>
        <v>1</v>
      </c>
      <c r="P38" s="37" t="s">
        <v>90</v>
      </c>
      <c r="Q38" s="10">
        <v>43019</v>
      </c>
      <c r="S38" s="12"/>
      <c r="T38" s="43" t="str">
        <f>IFERROR(VLOOKUP(U38,#REF!,2,0),"")</f>
        <v/>
      </c>
      <c r="U38" s="41" t="s">
        <v>8</v>
      </c>
      <c r="V38" s="43" t="str">
        <f t="shared" ca="1" si="7"/>
        <v>Quá hạn</v>
      </c>
      <c r="Y38" s="43" t="str">
        <f t="shared" ca="1" si="8"/>
        <v/>
      </c>
      <c r="Z38" s="39" t="str">
        <f>IFERROR(VLOOKUP(AA38,#REF!,2,0),"")</f>
        <v/>
      </c>
      <c r="AA38" s="37"/>
      <c r="AB38" s="14"/>
      <c r="AD38" s="43" t="str">
        <f t="shared" ca="1" si="9"/>
        <v>Quá hạn</v>
      </c>
      <c r="AE38" s="39"/>
      <c r="AF38" s="37"/>
      <c r="AI38" s="43" t="str">
        <f t="shared" ca="1" si="10"/>
        <v>Quá hạn</v>
      </c>
      <c r="AN38" s="49">
        <f t="shared" si="11"/>
        <v>4</v>
      </c>
      <c r="BA38" s="12" t="str">
        <f t="shared" si="12"/>
        <v>chưa PS</v>
      </c>
      <c r="BD38" s="12">
        <f t="shared" ca="1" si="16"/>
        <v>43150</v>
      </c>
      <c r="BE38" s="12"/>
      <c r="BF38" s="12">
        <f t="shared" ca="1" si="13"/>
        <v>43150</v>
      </c>
      <c r="BG38" s="9" t="str">
        <f t="shared" ca="1" si="17"/>
        <v>Quá hạn</v>
      </c>
      <c r="BH38" s="9"/>
      <c r="BI38" s="9"/>
      <c r="BJ38" s="9"/>
      <c r="BK38" s="9"/>
    </row>
    <row r="39" spans="2:63" x14ac:dyDescent="0.25">
      <c r="B39" s="9" t="str">
        <f t="shared" si="3"/>
        <v>LDG</v>
      </c>
      <c r="C39" s="3" t="s">
        <v>59</v>
      </c>
      <c r="D39" s="9" t="s">
        <v>160</v>
      </c>
      <c r="F39" s="37" t="s">
        <v>15</v>
      </c>
      <c r="G39" s="37" t="s">
        <v>0</v>
      </c>
      <c r="H39" s="37" t="s">
        <v>2</v>
      </c>
      <c r="I39" s="37">
        <v>600</v>
      </c>
      <c r="J39" s="9">
        <v>18</v>
      </c>
      <c r="K39" s="37" t="s">
        <v>20</v>
      </c>
      <c r="L39" s="39">
        <f t="shared" si="15"/>
        <v>30</v>
      </c>
      <c r="M39" s="39">
        <f t="shared" si="4"/>
        <v>7</v>
      </c>
      <c r="N39" s="39">
        <f t="shared" si="5"/>
        <v>14</v>
      </c>
      <c r="O39" s="39">
        <f t="shared" si="6"/>
        <v>7</v>
      </c>
      <c r="P39" s="37" t="s">
        <v>90</v>
      </c>
      <c r="Q39" s="10">
        <v>43069</v>
      </c>
      <c r="R39" s="10">
        <v>43069</v>
      </c>
      <c r="S39" s="12"/>
      <c r="T39" s="43" t="str">
        <f>IFERROR(VLOOKUP(U39,#REF!,2,0),"")</f>
        <v/>
      </c>
      <c r="V39" s="43" t="str">
        <f t="shared" ca="1" si="7"/>
        <v>Đã khởi công</v>
      </c>
      <c r="W39" s="10">
        <v>43070</v>
      </c>
      <c r="Y39" s="43" t="str">
        <f t="shared" ca="1" si="8"/>
        <v>Quá hạn</v>
      </c>
      <c r="Z39" s="39" t="str">
        <f>IFERROR(VLOOKUP(AA39,#REF!,2,0),"")</f>
        <v/>
      </c>
      <c r="AA39" s="37"/>
      <c r="AB39" s="14" t="s">
        <v>3</v>
      </c>
      <c r="AC39" s="14" t="s">
        <v>3</v>
      </c>
      <c r="AD39" s="43" t="str">
        <f t="shared" ca="1" si="9"/>
        <v>Đã xong cột</v>
      </c>
      <c r="AE39" s="39"/>
      <c r="AF39" s="37"/>
      <c r="AI39" s="43" t="str">
        <f t="shared" ca="1" si="10"/>
        <v>Quá hạn</v>
      </c>
      <c r="AN39" s="49">
        <f t="shared" si="11"/>
        <v>10</v>
      </c>
      <c r="BA39" s="12" t="str">
        <f t="shared" si="12"/>
        <v>chưa PS</v>
      </c>
      <c r="BD39" s="12">
        <f t="shared" ca="1" si="16"/>
        <v>80</v>
      </c>
      <c r="BE39" s="12"/>
      <c r="BF39" s="12">
        <f t="shared" ca="1" si="13"/>
        <v>80</v>
      </c>
      <c r="BG39" s="9" t="str">
        <f t="shared" ca="1" si="17"/>
        <v>Quá hạn</v>
      </c>
      <c r="BH39" s="9"/>
      <c r="BI39" s="9"/>
      <c r="BJ39" s="9"/>
      <c r="BK39" s="9"/>
    </row>
    <row r="40" spans="2:63" x14ac:dyDescent="0.25">
      <c r="B40" s="9" t="str">
        <f t="shared" si="3"/>
        <v>LDG</v>
      </c>
      <c r="C40" s="3" t="s">
        <v>60</v>
      </c>
      <c r="D40" s="9" t="s">
        <v>161</v>
      </c>
      <c r="F40" s="37" t="s">
        <v>15</v>
      </c>
      <c r="G40" s="37" t="s">
        <v>1</v>
      </c>
      <c r="H40" s="37" t="s">
        <v>2</v>
      </c>
      <c r="I40" s="37">
        <v>600</v>
      </c>
      <c r="J40" s="9">
        <v>30</v>
      </c>
      <c r="K40" s="37" t="s">
        <v>11</v>
      </c>
      <c r="L40" s="39">
        <f t="shared" si="15"/>
        <v>45</v>
      </c>
      <c r="M40" s="39">
        <f t="shared" si="4"/>
        <v>10</v>
      </c>
      <c r="N40" s="39">
        <f t="shared" si="5"/>
        <v>20</v>
      </c>
      <c r="O40" s="39">
        <f t="shared" si="6"/>
        <v>30</v>
      </c>
      <c r="P40" s="37" t="s">
        <v>90</v>
      </c>
      <c r="Q40" s="10">
        <v>43070</v>
      </c>
      <c r="R40" s="10">
        <v>43070</v>
      </c>
      <c r="S40" s="12"/>
      <c r="T40" s="43" t="str">
        <f>IFERROR(VLOOKUP(U40,#REF!,2,0),"")</f>
        <v/>
      </c>
      <c r="V40" s="43" t="str">
        <f t="shared" ca="1" si="7"/>
        <v>Đã khởi công</v>
      </c>
      <c r="W40" s="10">
        <v>43070</v>
      </c>
      <c r="X40" s="14" t="s">
        <v>3</v>
      </c>
      <c r="Y40" s="43" t="str">
        <f t="shared" ca="1" si="8"/>
        <v>Đã xong móng</v>
      </c>
      <c r="Z40" s="39" t="str">
        <f>IFERROR(VLOOKUP(AA40,#REF!,2,0),"")</f>
        <v/>
      </c>
      <c r="AA40" s="37"/>
      <c r="AB40" s="14" t="s">
        <v>3</v>
      </c>
      <c r="AC40" s="14" t="s">
        <v>3</v>
      </c>
      <c r="AD40" s="43" t="str">
        <f t="shared" ca="1" si="9"/>
        <v>Đã xong cột</v>
      </c>
      <c r="AE40" s="39"/>
      <c r="AF40" s="37"/>
      <c r="AI40" s="43" t="str">
        <f t="shared" ca="1" si="10"/>
        <v>Quá hạn</v>
      </c>
      <c r="AN40" s="49">
        <f t="shared" si="11"/>
        <v>33</v>
      </c>
      <c r="BA40" s="12" t="str">
        <f t="shared" si="12"/>
        <v>chưa PS</v>
      </c>
      <c r="BD40" s="12">
        <f t="shared" ca="1" si="16"/>
        <v>80</v>
      </c>
      <c r="BE40" s="12"/>
      <c r="BF40" s="12">
        <f t="shared" ca="1" si="13"/>
        <v>80</v>
      </c>
      <c r="BG40" s="9" t="str">
        <f t="shared" ca="1" si="17"/>
        <v>Quá hạn</v>
      </c>
      <c r="BH40" s="9"/>
      <c r="BI40" s="9"/>
      <c r="BJ40" s="9"/>
      <c r="BK40" s="9"/>
    </row>
    <row r="41" spans="2:63" x14ac:dyDescent="0.25">
      <c r="B41" s="9" t="str">
        <f t="shared" si="3"/>
        <v>LDG</v>
      </c>
      <c r="C41" s="1" t="s">
        <v>61</v>
      </c>
      <c r="F41" s="37" t="s">
        <v>16</v>
      </c>
      <c r="G41" s="37" t="s">
        <v>1</v>
      </c>
      <c r="H41" s="37" t="s">
        <v>2</v>
      </c>
      <c r="J41" s="9">
        <v>9</v>
      </c>
      <c r="K41" s="37" t="s">
        <v>3</v>
      </c>
      <c r="L41" s="39">
        <f t="shared" si="15"/>
        <v>45</v>
      </c>
      <c r="M41" s="39">
        <f t="shared" si="4"/>
        <v>10</v>
      </c>
      <c r="N41" s="39">
        <f t="shared" si="5"/>
        <v>20</v>
      </c>
      <c r="O41" s="39">
        <f t="shared" si="6"/>
        <v>2</v>
      </c>
      <c r="P41" s="37" t="s">
        <v>90</v>
      </c>
      <c r="S41" s="12"/>
      <c r="T41" s="43" t="str">
        <f>IFERROR(VLOOKUP(U41,#REF!,2,0),"")</f>
        <v/>
      </c>
      <c r="V41" s="43" t="str">
        <f t="shared" ca="1" si="7"/>
        <v/>
      </c>
      <c r="Y41" s="43" t="str">
        <f t="shared" ca="1" si="8"/>
        <v/>
      </c>
      <c r="Z41" s="39" t="str">
        <f>IFERROR(VLOOKUP(AA41,#REF!,2,0),"")</f>
        <v/>
      </c>
      <c r="AA41" s="37"/>
      <c r="AB41" s="14"/>
      <c r="AD41" s="43" t="str">
        <f t="shared" ca="1" si="9"/>
        <v>Quá hạn</v>
      </c>
      <c r="AE41" s="39"/>
      <c r="AF41" s="37"/>
      <c r="AI41" s="43" t="str">
        <f t="shared" ca="1" si="10"/>
        <v>Quá hạn</v>
      </c>
      <c r="AN41" s="49">
        <f t="shared" si="11"/>
        <v>5</v>
      </c>
      <c r="BA41" s="12" t="str">
        <f t="shared" si="12"/>
        <v>chưa PS</v>
      </c>
      <c r="BD41" s="12">
        <f t="shared" ca="1" si="16"/>
        <v>43150</v>
      </c>
      <c r="BE41" s="12"/>
      <c r="BF41" s="12">
        <f t="shared" ca="1" si="13"/>
        <v>43150</v>
      </c>
      <c r="BG41" s="9" t="str">
        <f t="shared" ca="1" si="17"/>
        <v>Quá hạn</v>
      </c>
      <c r="BH41" s="9"/>
      <c r="BI41" s="9"/>
      <c r="BJ41" s="9"/>
      <c r="BK41" s="9"/>
    </row>
    <row r="42" spans="2:63" x14ac:dyDescent="0.25">
      <c r="B42" s="9" t="str">
        <f t="shared" si="3"/>
        <v>NTN</v>
      </c>
      <c r="C42" s="1" t="s">
        <v>62</v>
      </c>
      <c r="D42" s="9" t="s">
        <v>162</v>
      </c>
      <c r="F42" s="37" t="s">
        <v>17</v>
      </c>
      <c r="G42" s="37" t="s">
        <v>0</v>
      </c>
      <c r="H42" s="37" t="s">
        <v>2</v>
      </c>
      <c r="I42" s="37">
        <v>300</v>
      </c>
      <c r="J42" s="9">
        <v>18</v>
      </c>
      <c r="K42" s="37" t="s">
        <v>20</v>
      </c>
      <c r="L42" s="39">
        <f t="shared" si="15"/>
        <v>30</v>
      </c>
      <c r="M42" s="39">
        <f t="shared" si="4"/>
        <v>7</v>
      </c>
      <c r="N42" s="39">
        <f t="shared" si="5"/>
        <v>14</v>
      </c>
      <c r="O42" s="39">
        <f t="shared" si="6"/>
        <v>7</v>
      </c>
      <c r="P42" s="37" t="s">
        <v>90</v>
      </c>
      <c r="Q42" s="10">
        <v>42926</v>
      </c>
      <c r="S42" s="12"/>
      <c r="T42" s="43" t="str">
        <f>IFERROR(VLOOKUP(U42,#REF!,2,0),"")</f>
        <v/>
      </c>
      <c r="U42" s="41" t="s">
        <v>336</v>
      </c>
      <c r="V42" s="43" t="str">
        <f t="shared" ca="1" si="7"/>
        <v>Quá hạn</v>
      </c>
      <c r="Y42" s="43" t="str">
        <f t="shared" ca="1" si="8"/>
        <v/>
      </c>
      <c r="Z42" s="39" t="str">
        <f>IFERROR(VLOOKUP(AA42,#REF!,2,0),"")</f>
        <v/>
      </c>
      <c r="AA42" s="37"/>
      <c r="AB42" s="14"/>
      <c r="AD42" s="43" t="str">
        <f t="shared" ca="1" si="9"/>
        <v>Quá hạn</v>
      </c>
      <c r="AE42" s="39"/>
      <c r="AF42" s="37"/>
      <c r="AI42" s="43" t="str">
        <f t="shared" ca="1" si="10"/>
        <v>Quá hạn</v>
      </c>
      <c r="AN42" s="49">
        <f t="shared" si="11"/>
        <v>10</v>
      </c>
      <c r="BA42" s="12" t="str">
        <f t="shared" si="12"/>
        <v>chưa PS</v>
      </c>
      <c r="BD42" s="12">
        <f t="shared" ca="1" si="16"/>
        <v>43150</v>
      </c>
      <c r="BE42" s="12"/>
      <c r="BF42" s="12">
        <f t="shared" ca="1" si="13"/>
        <v>43150</v>
      </c>
      <c r="BG42" s="9" t="str">
        <f t="shared" ca="1" si="17"/>
        <v>Quá hạn</v>
      </c>
      <c r="BH42" s="9"/>
      <c r="BI42" s="9"/>
      <c r="BJ42" s="9"/>
      <c r="BK42" s="9"/>
    </row>
    <row r="43" spans="2:63" x14ac:dyDescent="0.25">
      <c r="B43" s="9" t="str">
        <f t="shared" si="3"/>
        <v>NTN</v>
      </c>
      <c r="C43" s="1" t="s">
        <v>63</v>
      </c>
      <c r="D43" s="9" t="s">
        <v>163</v>
      </c>
      <c r="F43" s="37" t="s">
        <v>16</v>
      </c>
      <c r="G43" s="37" t="s">
        <v>1</v>
      </c>
      <c r="H43" s="37" t="s">
        <v>2</v>
      </c>
      <c r="I43" s="37" t="s">
        <v>18</v>
      </c>
      <c r="J43" s="9">
        <v>18</v>
      </c>
      <c r="K43" s="37" t="s">
        <v>215</v>
      </c>
      <c r="L43" s="39">
        <f t="shared" si="15"/>
        <v>45</v>
      </c>
      <c r="M43" s="39">
        <f t="shared" si="4"/>
        <v>7</v>
      </c>
      <c r="N43" s="39">
        <f t="shared" si="5"/>
        <v>10</v>
      </c>
      <c r="O43" s="39" t="str">
        <f t="shared" si="6"/>
        <v>Kiểm tra loại nhà</v>
      </c>
      <c r="P43" s="37" t="s">
        <v>90</v>
      </c>
      <c r="Q43" s="10">
        <v>42945</v>
      </c>
      <c r="R43" s="10">
        <v>42945</v>
      </c>
      <c r="S43" s="12"/>
      <c r="T43" s="43" t="str">
        <f>IFERROR(VLOOKUP(U43,#REF!,2,0),"")</f>
        <v/>
      </c>
      <c r="V43" s="43" t="str">
        <f t="shared" ca="1" si="7"/>
        <v>Đã khởi công</v>
      </c>
      <c r="W43" s="10">
        <v>42968</v>
      </c>
      <c r="Y43" s="43" t="str">
        <f t="shared" ca="1" si="8"/>
        <v>Quá hạn</v>
      </c>
      <c r="Z43" s="39" t="str">
        <f>IFERROR(VLOOKUP(AA43,#REF!,2,0),"")</f>
        <v/>
      </c>
      <c r="AA43" s="37" t="s">
        <v>5</v>
      </c>
      <c r="AB43" s="14" t="s">
        <v>6</v>
      </c>
      <c r="AD43" s="43" t="str">
        <f t="shared" ca="1" si="9"/>
        <v>Quá hạn</v>
      </c>
      <c r="AE43" s="39"/>
      <c r="AF43" s="37"/>
      <c r="AI43" s="43" t="str">
        <f t="shared" ca="1" si="10"/>
        <v/>
      </c>
      <c r="AN43" s="49" t="e">
        <f t="shared" si="11"/>
        <v>#VALUE!</v>
      </c>
      <c r="BA43" s="12" t="str">
        <f t="shared" si="12"/>
        <v>chưa PS</v>
      </c>
      <c r="BD43" s="12">
        <f t="shared" ca="1" si="16"/>
        <v>182</v>
      </c>
      <c r="BE43" s="12"/>
      <c r="BF43" s="12">
        <f t="shared" ca="1" si="13"/>
        <v>182</v>
      </c>
      <c r="BG43" s="9" t="str">
        <f t="shared" ca="1" si="17"/>
        <v>Quá hạn</v>
      </c>
      <c r="BH43" s="9"/>
      <c r="BI43" s="9"/>
      <c r="BJ43" s="9"/>
      <c r="BK43" s="9"/>
    </row>
    <row r="44" spans="2:63" x14ac:dyDescent="0.25">
      <c r="B44" s="9" t="str">
        <f t="shared" si="3"/>
        <v>NTN</v>
      </c>
      <c r="C44" s="5" t="s">
        <v>64</v>
      </c>
      <c r="D44" s="9" t="s">
        <v>164</v>
      </c>
      <c r="F44" s="37" t="s">
        <v>15</v>
      </c>
      <c r="G44" s="37" t="s">
        <v>1</v>
      </c>
      <c r="H44" s="37" t="s">
        <v>2</v>
      </c>
      <c r="I44" s="37">
        <v>600</v>
      </c>
      <c r="J44" s="9">
        <v>42</v>
      </c>
      <c r="K44" s="37" t="s">
        <v>12</v>
      </c>
      <c r="L44" s="39">
        <f t="shared" si="15"/>
        <v>45</v>
      </c>
      <c r="M44" s="39">
        <f t="shared" si="4"/>
        <v>10</v>
      </c>
      <c r="N44" s="39">
        <f t="shared" si="5"/>
        <v>20</v>
      </c>
      <c r="O44" s="39">
        <f t="shared" si="6"/>
        <v>1</v>
      </c>
      <c r="P44" s="37" t="s">
        <v>90</v>
      </c>
      <c r="Q44" s="10">
        <v>42984</v>
      </c>
      <c r="R44" s="10">
        <f>Q44+7</f>
        <v>42991</v>
      </c>
      <c r="S44" s="12"/>
      <c r="T44" s="43" t="str">
        <f>IFERROR(VLOOKUP(U44,#REF!,2,0),"")</f>
        <v/>
      </c>
      <c r="V44" s="43" t="str">
        <f t="shared" ca="1" si="7"/>
        <v/>
      </c>
      <c r="X44" s="10">
        <v>43074</v>
      </c>
      <c r="Y44" s="43" t="str">
        <f t="shared" ca="1" si="8"/>
        <v/>
      </c>
      <c r="Z44" s="39" t="str">
        <f>IFERROR(VLOOKUP(AA44,#REF!,2,0),"")</f>
        <v/>
      </c>
      <c r="AA44" s="37"/>
      <c r="AB44" s="14">
        <v>42993</v>
      </c>
      <c r="AD44" s="43" t="str">
        <f t="shared" ca="1" si="9"/>
        <v>Quá hạn</v>
      </c>
      <c r="AE44" s="39"/>
      <c r="AF44" s="37"/>
      <c r="AI44" s="43" t="str">
        <f t="shared" ca="1" si="10"/>
        <v>Quá hạn</v>
      </c>
      <c r="AN44" s="49">
        <f t="shared" si="11"/>
        <v>4</v>
      </c>
      <c r="BA44" s="12" t="str">
        <f t="shared" si="12"/>
        <v>chưa PS</v>
      </c>
      <c r="BD44" s="12">
        <f t="shared" ca="1" si="16"/>
        <v>43150</v>
      </c>
      <c r="BE44" s="12"/>
      <c r="BF44" s="12">
        <f t="shared" ca="1" si="13"/>
        <v>43150</v>
      </c>
      <c r="BG44" s="9" t="str">
        <f t="shared" ca="1" si="17"/>
        <v>Quá hạn</v>
      </c>
      <c r="BH44" s="9"/>
      <c r="BI44" s="9"/>
      <c r="BJ44" s="9"/>
      <c r="BK44" s="9"/>
    </row>
    <row r="45" spans="2:63" x14ac:dyDescent="0.25">
      <c r="B45" s="9" t="str">
        <f t="shared" si="3"/>
        <v>PYN</v>
      </c>
      <c r="C45" s="3" t="s">
        <v>65</v>
      </c>
      <c r="D45" s="9" t="s">
        <v>165</v>
      </c>
      <c r="F45" s="37" t="s">
        <v>15</v>
      </c>
      <c r="G45" s="37" t="s">
        <v>1</v>
      </c>
      <c r="H45" s="37" t="s">
        <v>2</v>
      </c>
      <c r="I45" s="37">
        <v>600</v>
      </c>
      <c r="J45" s="9">
        <v>48</v>
      </c>
      <c r="K45" s="37" t="s">
        <v>12</v>
      </c>
      <c r="L45" s="39">
        <f t="shared" si="15"/>
        <v>45</v>
      </c>
      <c r="M45" s="39">
        <f t="shared" si="4"/>
        <v>10</v>
      </c>
      <c r="N45" s="39">
        <f t="shared" si="5"/>
        <v>20</v>
      </c>
      <c r="O45" s="39">
        <f t="shared" si="6"/>
        <v>1</v>
      </c>
      <c r="P45" s="37" t="s">
        <v>90</v>
      </c>
      <c r="Q45" s="10">
        <v>42956</v>
      </c>
      <c r="R45" s="10">
        <v>43064</v>
      </c>
      <c r="S45" s="12"/>
      <c r="T45" s="43" t="str">
        <f>IFERROR(VLOOKUP(U45,#REF!,2,0),"")</f>
        <v/>
      </c>
      <c r="V45" s="43" t="str">
        <f t="shared" ca="1" si="7"/>
        <v>Đã khởi công</v>
      </c>
      <c r="W45" s="10">
        <v>43074</v>
      </c>
      <c r="Y45" s="43" t="str">
        <f t="shared" ca="1" si="8"/>
        <v>Quá hạn</v>
      </c>
      <c r="Z45" s="39" t="str">
        <f>IFERROR(VLOOKUP(AA45,#REF!,2,0),"")</f>
        <v/>
      </c>
      <c r="AA45" s="37" t="s">
        <v>334</v>
      </c>
      <c r="AB45" s="14"/>
      <c r="AD45" s="43" t="str">
        <f t="shared" ca="1" si="9"/>
        <v>Quá hạn</v>
      </c>
      <c r="AE45" s="39"/>
      <c r="AF45" s="37"/>
      <c r="AI45" s="43" t="str">
        <f t="shared" ca="1" si="10"/>
        <v>Quá hạn</v>
      </c>
      <c r="AN45" s="49">
        <f t="shared" si="11"/>
        <v>4</v>
      </c>
      <c r="BA45" s="12" t="str">
        <f t="shared" si="12"/>
        <v>chưa PS</v>
      </c>
      <c r="BD45" s="12">
        <f t="shared" ca="1" si="16"/>
        <v>76</v>
      </c>
      <c r="BE45" s="12"/>
      <c r="BF45" s="12">
        <f t="shared" ca="1" si="13"/>
        <v>76</v>
      </c>
      <c r="BG45" s="9" t="str">
        <f t="shared" ca="1" si="17"/>
        <v>Quá hạn</v>
      </c>
      <c r="BH45" s="9"/>
      <c r="BI45" s="9"/>
      <c r="BJ45" s="9"/>
      <c r="BK45" s="9"/>
    </row>
    <row r="46" spans="2:63" x14ac:dyDescent="0.25">
      <c r="B46" s="9" t="str">
        <f t="shared" si="3"/>
        <v>PYN</v>
      </c>
      <c r="C46" s="3" t="s">
        <v>66</v>
      </c>
      <c r="D46" s="9" t="s">
        <v>166</v>
      </c>
      <c r="F46" s="37" t="s">
        <v>15</v>
      </c>
      <c r="G46" s="37" t="s">
        <v>1</v>
      </c>
      <c r="H46" s="37" t="s">
        <v>2</v>
      </c>
      <c r="I46" s="37">
        <v>600</v>
      </c>
      <c r="J46" s="9">
        <v>48</v>
      </c>
      <c r="K46" s="37" t="s">
        <v>12</v>
      </c>
      <c r="L46" s="39">
        <f t="shared" si="15"/>
        <v>45</v>
      </c>
      <c r="M46" s="39">
        <f t="shared" si="4"/>
        <v>10</v>
      </c>
      <c r="N46" s="39">
        <f t="shared" si="5"/>
        <v>20</v>
      </c>
      <c r="O46" s="39">
        <f t="shared" si="6"/>
        <v>1</v>
      </c>
      <c r="P46" s="37" t="s">
        <v>90</v>
      </c>
      <c r="Q46" s="10">
        <v>42956</v>
      </c>
      <c r="R46" s="10">
        <v>43064</v>
      </c>
      <c r="S46" s="12"/>
      <c r="T46" s="43" t="str">
        <f>IFERROR(VLOOKUP(U46,#REF!,2,0),"")</f>
        <v/>
      </c>
      <c r="V46" s="43" t="str">
        <f t="shared" ca="1" si="7"/>
        <v>Đã khởi công</v>
      </c>
      <c r="W46" s="10">
        <v>43074</v>
      </c>
      <c r="Y46" s="43" t="str">
        <f t="shared" ca="1" si="8"/>
        <v>Quá hạn</v>
      </c>
      <c r="Z46" s="39" t="str">
        <f>IFERROR(VLOOKUP(AA46,#REF!,2,0),"")</f>
        <v/>
      </c>
      <c r="AA46" s="37" t="s">
        <v>334</v>
      </c>
      <c r="AB46" s="14"/>
      <c r="AD46" s="43" t="str">
        <f t="shared" ca="1" si="9"/>
        <v>Quá hạn</v>
      </c>
      <c r="AE46" s="39"/>
      <c r="AF46" s="37"/>
      <c r="AI46" s="43" t="str">
        <f t="shared" ca="1" si="10"/>
        <v>Quá hạn</v>
      </c>
      <c r="AN46" s="49">
        <f t="shared" si="11"/>
        <v>4</v>
      </c>
      <c r="BA46" s="12" t="str">
        <f t="shared" si="12"/>
        <v>chưa PS</v>
      </c>
      <c r="BD46" s="12">
        <f t="shared" ca="1" si="16"/>
        <v>76</v>
      </c>
      <c r="BE46" s="12"/>
      <c r="BF46" s="12">
        <f t="shared" ca="1" si="13"/>
        <v>76</v>
      </c>
      <c r="BG46" s="9" t="str">
        <f t="shared" ca="1" si="17"/>
        <v>Quá hạn</v>
      </c>
      <c r="BH46" s="9"/>
      <c r="BI46" s="9"/>
      <c r="BJ46" s="9"/>
      <c r="BK46" s="9"/>
    </row>
    <row r="47" spans="2:63" x14ac:dyDescent="0.25">
      <c r="B47" s="9" t="str">
        <f t="shared" si="3"/>
        <v>PYN</v>
      </c>
      <c r="C47" s="3" t="s">
        <v>67</v>
      </c>
      <c r="D47" s="9" t="s">
        <v>167</v>
      </c>
      <c r="F47" s="37" t="s">
        <v>16</v>
      </c>
      <c r="G47" s="37" t="s">
        <v>0</v>
      </c>
      <c r="H47" s="37" t="s">
        <v>2</v>
      </c>
      <c r="I47" s="37" t="s">
        <v>122</v>
      </c>
      <c r="J47" s="9">
        <v>9</v>
      </c>
      <c r="K47" s="37" t="s">
        <v>20</v>
      </c>
      <c r="L47" s="39">
        <f t="shared" si="15"/>
        <v>30</v>
      </c>
      <c r="M47" s="39">
        <f t="shared" si="4"/>
        <v>7</v>
      </c>
      <c r="N47" s="39">
        <f t="shared" si="5"/>
        <v>14</v>
      </c>
      <c r="O47" s="39">
        <f t="shared" si="6"/>
        <v>7</v>
      </c>
      <c r="P47" s="37" t="s">
        <v>90</v>
      </c>
      <c r="S47" s="12"/>
      <c r="T47" s="43" t="str">
        <f>IFERROR(VLOOKUP(U47,#REF!,2,0),"")</f>
        <v/>
      </c>
      <c r="V47" s="43" t="str">
        <f t="shared" ca="1" si="7"/>
        <v/>
      </c>
      <c r="Y47" s="43" t="str">
        <f t="shared" ca="1" si="8"/>
        <v/>
      </c>
      <c r="Z47" s="39" t="str">
        <f>IFERROR(VLOOKUP(AA47,#REF!,2,0),"")</f>
        <v/>
      </c>
      <c r="AA47" s="37"/>
      <c r="AB47" s="14" t="s">
        <v>330</v>
      </c>
      <c r="AD47" s="43" t="str">
        <f t="shared" ca="1" si="9"/>
        <v>Quá hạn</v>
      </c>
      <c r="AE47" s="39"/>
      <c r="AF47" s="37"/>
      <c r="AI47" s="43" t="str">
        <f t="shared" ca="1" si="10"/>
        <v>Quá hạn</v>
      </c>
      <c r="AN47" s="49">
        <f t="shared" si="11"/>
        <v>10</v>
      </c>
      <c r="BA47" s="12" t="str">
        <f t="shared" si="12"/>
        <v>chưa PS</v>
      </c>
      <c r="BD47" s="12">
        <f t="shared" ca="1" si="16"/>
        <v>43150</v>
      </c>
      <c r="BE47" s="12"/>
      <c r="BF47" s="12">
        <f t="shared" ca="1" si="13"/>
        <v>43150</v>
      </c>
      <c r="BG47" s="9" t="str">
        <f t="shared" ca="1" si="17"/>
        <v>Quá hạn</v>
      </c>
      <c r="BH47" s="9"/>
      <c r="BI47" s="9"/>
      <c r="BJ47" s="9"/>
      <c r="BK47" s="9"/>
    </row>
    <row r="48" spans="2:63" x14ac:dyDescent="0.25">
      <c r="B48" s="9" t="str">
        <f t="shared" si="3"/>
        <v>PYN</v>
      </c>
      <c r="C48" s="3" t="s">
        <v>68</v>
      </c>
      <c r="D48" s="9">
        <v>0</v>
      </c>
      <c r="F48" s="37" t="s">
        <v>15</v>
      </c>
      <c r="G48" s="37" t="s">
        <v>1</v>
      </c>
      <c r="H48" s="37" t="s">
        <v>2</v>
      </c>
      <c r="I48" s="37">
        <v>600</v>
      </c>
      <c r="J48" s="9">
        <v>42</v>
      </c>
      <c r="K48" s="37" t="s">
        <v>12</v>
      </c>
      <c r="L48" s="39">
        <f t="shared" si="15"/>
        <v>45</v>
      </c>
      <c r="M48" s="39">
        <f t="shared" si="4"/>
        <v>10</v>
      </c>
      <c r="N48" s="39">
        <f t="shared" si="5"/>
        <v>20</v>
      </c>
      <c r="O48" s="39">
        <f t="shared" si="6"/>
        <v>1</v>
      </c>
      <c r="P48" s="37" t="s">
        <v>90</v>
      </c>
      <c r="S48" s="12"/>
      <c r="T48" s="43" t="str">
        <f>IFERROR(VLOOKUP(U48,#REF!,2,0),"")</f>
        <v/>
      </c>
      <c r="V48" s="43" t="str">
        <f t="shared" ca="1" si="7"/>
        <v/>
      </c>
      <c r="Y48" s="43" t="str">
        <f t="shared" ca="1" si="8"/>
        <v/>
      </c>
      <c r="Z48" s="39" t="str">
        <f>IFERROR(VLOOKUP(AA48,#REF!,2,0),"")</f>
        <v/>
      </c>
      <c r="AA48" s="37"/>
      <c r="AB48" s="14"/>
      <c r="AD48" s="43" t="str">
        <f t="shared" ca="1" si="9"/>
        <v>Quá hạn</v>
      </c>
      <c r="AE48" s="39"/>
      <c r="AF48" s="37"/>
      <c r="AI48" s="43" t="str">
        <f t="shared" ca="1" si="10"/>
        <v>Quá hạn</v>
      </c>
      <c r="AN48" s="49">
        <f t="shared" si="11"/>
        <v>4</v>
      </c>
      <c r="BA48" s="12" t="str">
        <f t="shared" si="12"/>
        <v>chưa PS</v>
      </c>
      <c r="BD48" s="12">
        <f t="shared" ca="1" si="16"/>
        <v>43150</v>
      </c>
      <c r="BE48" s="12"/>
      <c r="BF48" s="12">
        <f t="shared" ca="1" si="13"/>
        <v>43150</v>
      </c>
      <c r="BG48" s="9" t="str">
        <f t="shared" ca="1" si="17"/>
        <v>Quá hạn</v>
      </c>
      <c r="BH48" s="9"/>
      <c r="BI48" s="9"/>
      <c r="BJ48" s="9"/>
      <c r="BK48" s="9"/>
    </row>
    <row r="49" spans="2:63" x14ac:dyDescent="0.25">
      <c r="B49" s="9" t="str">
        <f t="shared" si="3"/>
        <v>QNI</v>
      </c>
      <c r="C49" s="3" t="s">
        <v>69</v>
      </c>
      <c r="D49" s="9" t="s">
        <v>168</v>
      </c>
      <c r="F49" s="37" t="s">
        <v>16</v>
      </c>
      <c r="G49" s="37" t="s">
        <v>1</v>
      </c>
      <c r="H49" s="37" t="s">
        <v>2</v>
      </c>
      <c r="I49" s="37" t="s">
        <v>3</v>
      </c>
      <c r="J49" s="9">
        <v>42</v>
      </c>
      <c r="K49" s="37" t="s">
        <v>13</v>
      </c>
      <c r="L49" s="39">
        <f t="shared" si="15"/>
        <v>45</v>
      </c>
      <c r="M49" s="39">
        <f t="shared" si="4"/>
        <v>10</v>
      </c>
      <c r="N49" s="39">
        <f t="shared" si="5"/>
        <v>20</v>
      </c>
      <c r="O49" s="39">
        <f t="shared" si="6"/>
        <v>30</v>
      </c>
      <c r="P49" s="37" t="s">
        <v>90</v>
      </c>
      <c r="Q49" s="10">
        <v>43010</v>
      </c>
      <c r="R49" s="10">
        <v>43010</v>
      </c>
      <c r="S49" s="12"/>
      <c r="T49" s="43" t="str">
        <f>IFERROR(VLOOKUP(U49,#REF!,2,0),"")</f>
        <v/>
      </c>
      <c r="V49" s="43" t="str">
        <f t="shared" ca="1" si="7"/>
        <v>Đã khởi công</v>
      </c>
      <c r="W49" s="10">
        <v>43010</v>
      </c>
      <c r="X49" s="14" t="s">
        <v>3</v>
      </c>
      <c r="Y49" s="43" t="str">
        <f t="shared" ca="1" si="8"/>
        <v>Đã xong móng</v>
      </c>
      <c r="Z49" s="39" t="str">
        <f>IFERROR(VLOOKUP(AA49,#REF!,2,0),"")</f>
        <v/>
      </c>
      <c r="AA49" s="37"/>
      <c r="AB49" s="14" t="s">
        <v>331</v>
      </c>
      <c r="AD49" s="43" t="str">
        <f t="shared" ca="1" si="9"/>
        <v>Quá hạn</v>
      </c>
      <c r="AE49" s="39"/>
      <c r="AF49" s="37"/>
      <c r="AI49" s="43" t="str">
        <f t="shared" ca="1" si="10"/>
        <v>Quá hạn</v>
      </c>
      <c r="AN49" s="49">
        <f t="shared" si="11"/>
        <v>33</v>
      </c>
      <c r="BA49" s="12" t="str">
        <f t="shared" si="12"/>
        <v>chưa PS</v>
      </c>
      <c r="BD49" s="12">
        <f t="shared" ca="1" si="16"/>
        <v>140</v>
      </c>
      <c r="BE49" s="12"/>
      <c r="BF49" s="12">
        <f t="shared" ca="1" si="13"/>
        <v>140</v>
      </c>
      <c r="BG49" s="9" t="str">
        <f t="shared" ca="1" si="17"/>
        <v>Quá hạn</v>
      </c>
      <c r="BH49" s="9"/>
      <c r="BI49" s="9"/>
      <c r="BJ49" s="9"/>
      <c r="BK49" s="9"/>
    </row>
    <row r="50" spans="2:63" x14ac:dyDescent="0.25">
      <c r="B50" s="9" t="str">
        <f t="shared" si="3"/>
        <v>QNI</v>
      </c>
      <c r="C50" s="3" t="s">
        <v>70</v>
      </c>
      <c r="D50" s="9" t="s">
        <v>169</v>
      </c>
      <c r="F50" s="37" t="s">
        <v>16</v>
      </c>
      <c r="G50" s="37" t="s">
        <v>1</v>
      </c>
      <c r="H50" s="37" t="s">
        <v>2</v>
      </c>
      <c r="I50" s="37">
        <v>600</v>
      </c>
      <c r="J50" s="9">
        <v>18</v>
      </c>
      <c r="K50" s="37" t="s">
        <v>12</v>
      </c>
      <c r="L50" s="39">
        <f t="shared" si="15"/>
        <v>45</v>
      </c>
      <c r="M50" s="39">
        <f t="shared" si="4"/>
        <v>7</v>
      </c>
      <c r="N50" s="39">
        <f t="shared" si="5"/>
        <v>14</v>
      </c>
      <c r="O50" s="39">
        <f t="shared" si="6"/>
        <v>1</v>
      </c>
      <c r="P50" s="37" t="s">
        <v>90</v>
      </c>
      <c r="Q50" s="10">
        <v>42990</v>
      </c>
      <c r="R50" s="10">
        <v>42990</v>
      </c>
      <c r="S50" s="12"/>
      <c r="T50" s="43" t="str">
        <f>IFERROR(VLOOKUP(U50,#REF!,2,0),"")</f>
        <v/>
      </c>
      <c r="V50" s="43" t="str">
        <f t="shared" ca="1" si="7"/>
        <v>Đã khởi công</v>
      </c>
      <c r="W50" s="10">
        <v>43053</v>
      </c>
      <c r="Y50" s="43" t="str">
        <f t="shared" ca="1" si="8"/>
        <v>Quá hạn</v>
      </c>
      <c r="Z50" s="39" t="str">
        <f>IFERROR(VLOOKUP(AA50,#REF!,2,0),"")</f>
        <v/>
      </c>
      <c r="AA50" s="37" t="s">
        <v>335</v>
      </c>
      <c r="AB50" s="14"/>
      <c r="AD50" s="43" t="str">
        <f t="shared" ca="1" si="9"/>
        <v>Quá hạn</v>
      </c>
      <c r="AE50" s="39"/>
      <c r="AF50" s="37"/>
      <c r="AI50" s="43" t="str">
        <f t="shared" ca="1" si="10"/>
        <v>Quá hạn</v>
      </c>
      <c r="AN50" s="49">
        <f t="shared" si="11"/>
        <v>4</v>
      </c>
      <c r="BA50" s="12" t="str">
        <f t="shared" si="12"/>
        <v>chưa PS</v>
      </c>
      <c r="BD50" s="12">
        <f t="shared" ca="1" si="16"/>
        <v>97</v>
      </c>
      <c r="BE50" s="12"/>
      <c r="BF50" s="12">
        <f t="shared" ca="1" si="13"/>
        <v>97</v>
      </c>
      <c r="BG50" s="9" t="str">
        <f t="shared" ca="1" si="17"/>
        <v>Quá hạn</v>
      </c>
      <c r="BH50" s="9"/>
      <c r="BI50" s="9"/>
      <c r="BJ50" s="9"/>
      <c r="BK50" s="9"/>
    </row>
    <row r="51" spans="2:63" x14ac:dyDescent="0.25">
      <c r="B51" s="9" t="str">
        <f t="shared" si="3"/>
        <v>QNI</v>
      </c>
      <c r="C51" s="3" t="s">
        <v>71</v>
      </c>
      <c r="D51" s="9" t="s">
        <v>170</v>
      </c>
      <c r="F51" s="37" t="s">
        <v>15</v>
      </c>
      <c r="G51" s="37" t="s">
        <v>1</v>
      </c>
      <c r="H51" s="37" t="s">
        <v>2</v>
      </c>
      <c r="J51" s="9">
        <v>36</v>
      </c>
      <c r="L51" s="39">
        <f t="shared" si="15"/>
        <v>45</v>
      </c>
      <c r="M51" s="39">
        <f t="shared" si="4"/>
        <v>10</v>
      </c>
      <c r="N51" s="39">
        <f t="shared" si="5"/>
        <v>20</v>
      </c>
      <c r="O51" s="39" t="str">
        <f t="shared" si="6"/>
        <v>Kiểm tra loại nhà</v>
      </c>
      <c r="P51" s="37" t="s">
        <v>90</v>
      </c>
      <c r="Q51" s="10">
        <v>42978</v>
      </c>
      <c r="R51" s="10">
        <f t="shared" ref="R51:R54" si="19">Q51+7</f>
        <v>42985</v>
      </c>
      <c r="S51" s="12"/>
      <c r="T51" s="43" t="str">
        <f>IFERROR(VLOOKUP(U51,#REF!,2,0),"")</f>
        <v/>
      </c>
      <c r="V51" s="43" t="str">
        <f t="shared" ca="1" si="7"/>
        <v>Đã khởi công</v>
      </c>
      <c r="W51" s="10">
        <v>42978</v>
      </c>
      <c r="X51" s="14">
        <v>43041</v>
      </c>
      <c r="Y51" s="43" t="str">
        <f t="shared" ca="1" si="8"/>
        <v>Đã xong móng</v>
      </c>
      <c r="Z51" s="39" t="str">
        <f>IFERROR(VLOOKUP(AA51,#REF!,2,0),"")</f>
        <v/>
      </c>
      <c r="AA51" s="37"/>
      <c r="AB51" s="14"/>
      <c r="AD51" s="43" t="str">
        <f t="shared" ca="1" si="9"/>
        <v>Quá hạn</v>
      </c>
      <c r="AE51" s="39"/>
      <c r="AF51" s="37"/>
      <c r="AI51" s="43" t="str">
        <f t="shared" ca="1" si="10"/>
        <v/>
      </c>
      <c r="AN51" s="49" t="e">
        <f t="shared" si="11"/>
        <v>#VALUE!</v>
      </c>
      <c r="BA51" s="12" t="str">
        <f t="shared" si="12"/>
        <v>chưa PS</v>
      </c>
      <c r="BD51" s="12">
        <f t="shared" ca="1" si="16"/>
        <v>172</v>
      </c>
      <c r="BE51" s="12"/>
      <c r="BF51" s="12">
        <f t="shared" ca="1" si="13"/>
        <v>172</v>
      </c>
      <c r="BG51" s="9" t="str">
        <f t="shared" ca="1" si="17"/>
        <v>Quá hạn</v>
      </c>
      <c r="BH51" s="9"/>
      <c r="BI51" s="9"/>
      <c r="BJ51" s="9"/>
      <c r="BK51" s="9"/>
    </row>
    <row r="52" spans="2:63" x14ac:dyDescent="0.25">
      <c r="B52" s="9" t="str">
        <f t="shared" si="3"/>
        <v>QNI</v>
      </c>
      <c r="C52" s="3" t="s">
        <v>72</v>
      </c>
      <c r="D52" s="9" t="s">
        <v>171</v>
      </c>
      <c r="F52" s="37" t="s">
        <v>16</v>
      </c>
      <c r="G52" s="37" t="s">
        <v>1</v>
      </c>
      <c r="H52" s="37" t="s">
        <v>2</v>
      </c>
      <c r="I52" s="37">
        <v>600</v>
      </c>
      <c r="J52" s="9">
        <v>10</v>
      </c>
      <c r="K52" s="37" t="s">
        <v>12</v>
      </c>
      <c r="L52" s="39">
        <f t="shared" si="15"/>
        <v>45</v>
      </c>
      <c r="M52" s="39">
        <f t="shared" si="4"/>
        <v>7</v>
      </c>
      <c r="N52" s="39">
        <f t="shared" si="5"/>
        <v>14</v>
      </c>
      <c r="O52" s="39">
        <f t="shared" si="6"/>
        <v>1</v>
      </c>
      <c r="P52" s="37" t="s">
        <v>90</v>
      </c>
      <c r="Q52" s="10">
        <v>42975</v>
      </c>
      <c r="R52" s="10">
        <f t="shared" si="19"/>
        <v>42982</v>
      </c>
      <c r="S52" s="12"/>
      <c r="T52" s="43" t="str">
        <f>IFERROR(VLOOKUP(U52,#REF!,2,0),"")</f>
        <v/>
      </c>
      <c r="U52" s="41" t="s">
        <v>335</v>
      </c>
      <c r="V52" s="43" t="str">
        <f t="shared" ca="1" si="7"/>
        <v>Quá hạn</v>
      </c>
      <c r="Y52" s="43" t="str">
        <f t="shared" ca="1" si="8"/>
        <v/>
      </c>
      <c r="Z52" s="39" t="str">
        <f>IFERROR(VLOOKUP(AA52,#REF!,2,0),"")</f>
        <v/>
      </c>
      <c r="AA52" s="37"/>
      <c r="AB52" s="14"/>
      <c r="AD52" s="43" t="str">
        <f t="shared" ca="1" si="9"/>
        <v>Quá hạn</v>
      </c>
      <c r="AE52" s="39"/>
      <c r="AF52" s="37"/>
      <c r="AI52" s="43" t="str">
        <f t="shared" ca="1" si="10"/>
        <v>Quá hạn</v>
      </c>
      <c r="AN52" s="49">
        <f t="shared" si="11"/>
        <v>4</v>
      </c>
      <c r="BA52" s="12" t="str">
        <f t="shared" si="12"/>
        <v>chưa PS</v>
      </c>
      <c r="BD52" s="12">
        <f t="shared" ca="1" si="16"/>
        <v>43150</v>
      </c>
      <c r="BE52" s="12"/>
      <c r="BF52" s="12">
        <f t="shared" ca="1" si="13"/>
        <v>43150</v>
      </c>
      <c r="BG52" s="9" t="str">
        <f t="shared" ca="1" si="17"/>
        <v>Quá hạn</v>
      </c>
      <c r="BH52" s="9"/>
      <c r="BI52" s="9"/>
      <c r="BJ52" s="9"/>
      <c r="BK52" s="9"/>
    </row>
    <row r="53" spans="2:63" x14ac:dyDescent="0.25">
      <c r="B53" s="9" t="str">
        <f t="shared" si="3"/>
        <v>QNM</v>
      </c>
      <c r="C53" s="3" t="s">
        <v>73</v>
      </c>
      <c r="D53" s="9" t="s">
        <v>172</v>
      </c>
      <c r="F53" s="37" t="s">
        <v>17</v>
      </c>
      <c r="G53" s="37" t="s">
        <v>1</v>
      </c>
      <c r="H53" s="37" t="s">
        <v>2</v>
      </c>
      <c r="I53" s="37">
        <v>600</v>
      </c>
      <c r="J53" s="9">
        <v>42</v>
      </c>
      <c r="K53" s="37" t="s">
        <v>13</v>
      </c>
      <c r="L53" s="39">
        <f t="shared" si="15"/>
        <v>45</v>
      </c>
      <c r="M53" s="39">
        <f t="shared" si="4"/>
        <v>10</v>
      </c>
      <c r="N53" s="39">
        <f t="shared" si="5"/>
        <v>20</v>
      </c>
      <c r="O53" s="39">
        <f t="shared" si="6"/>
        <v>30</v>
      </c>
      <c r="P53" s="37" t="s">
        <v>90</v>
      </c>
      <c r="Q53" s="10">
        <v>42993</v>
      </c>
      <c r="R53" s="10">
        <f t="shared" si="19"/>
        <v>43000</v>
      </c>
      <c r="S53" s="12"/>
      <c r="T53" s="43" t="str">
        <f>IFERROR(VLOOKUP(U53,#REF!,2,0),"")</f>
        <v/>
      </c>
      <c r="V53" s="43" t="str">
        <f t="shared" ca="1" si="7"/>
        <v>Đã khởi công</v>
      </c>
      <c r="W53" s="10">
        <v>42993</v>
      </c>
      <c r="X53" s="14">
        <v>43053</v>
      </c>
      <c r="Y53" s="43" t="str">
        <f t="shared" ca="1" si="8"/>
        <v>Đã xong móng</v>
      </c>
      <c r="Z53" s="39" t="str">
        <f>IFERROR(VLOOKUP(AA53,#REF!,2,0),"")</f>
        <v/>
      </c>
      <c r="AA53" s="37"/>
      <c r="AB53" s="14">
        <v>43056</v>
      </c>
      <c r="AD53" s="43" t="str">
        <f t="shared" ca="1" si="9"/>
        <v>Quá hạn</v>
      </c>
      <c r="AE53" s="39"/>
      <c r="AF53" s="37"/>
      <c r="AI53" s="43" t="str">
        <f t="shared" ca="1" si="10"/>
        <v>Quá hạn</v>
      </c>
      <c r="AN53" s="49">
        <f t="shared" si="11"/>
        <v>33</v>
      </c>
      <c r="BA53" s="12" t="str">
        <f t="shared" si="12"/>
        <v>chưa PS</v>
      </c>
      <c r="BD53" s="12">
        <f t="shared" ca="1" si="16"/>
        <v>157</v>
      </c>
      <c r="BE53" s="12"/>
      <c r="BF53" s="12">
        <f t="shared" ca="1" si="13"/>
        <v>157</v>
      </c>
      <c r="BG53" s="9" t="str">
        <f t="shared" ca="1" si="17"/>
        <v>Quá hạn</v>
      </c>
      <c r="BH53" s="9"/>
      <c r="BI53" s="9"/>
      <c r="BJ53" s="9"/>
      <c r="BK53" s="9"/>
    </row>
    <row r="54" spans="2:63" x14ac:dyDescent="0.25">
      <c r="B54" s="9" t="str">
        <f t="shared" si="3"/>
        <v>QNM</v>
      </c>
      <c r="C54" s="3" t="s">
        <v>74</v>
      </c>
      <c r="D54" s="9" t="s">
        <v>173</v>
      </c>
      <c r="F54" s="37" t="s">
        <v>17</v>
      </c>
      <c r="G54" s="37" t="s">
        <v>1</v>
      </c>
      <c r="H54" s="37" t="s">
        <v>2</v>
      </c>
      <c r="I54" s="37" t="s">
        <v>123</v>
      </c>
      <c r="J54" s="9">
        <v>42</v>
      </c>
      <c r="K54" s="37" t="s">
        <v>13</v>
      </c>
      <c r="L54" s="39">
        <f t="shared" si="15"/>
        <v>45</v>
      </c>
      <c r="M54" s="39">
        <f t="shared" si="4"/>
        <v>10</v>
      </c>
      <c r="N54" s="39">
        <f t="shared" si="5"/>
        <v>20</v>
      </c>
      <c r="O54" s="39">
        <f t="shared" si="6"/>
        <v>30</v>
      </c>
      <c r="P54" s="37" t="s">
        <v>90</v>
      </c>
      <c r="Q54" s="10">
        <v>42880</v>
      </c>
      <c r="R54" s="10">
        <f t="shared" si="19"/>
        <v>42887</v>
      </c>
      <c r="S54" s="12"/>
      <c r="T54" s="43" t="str">
        <f>IFERROR(VLOOKUP(U54,#REF!,2,0),"")</f>
        <v/>
      </c>
      <c r="V54" s="43" t="str">
        <f t="shared" ca="1" si="7"/>
        <v>Đã khởi công</v>
      </c>
      <c r="W54" s="10">
        <v>42951</v>
      </c>
      <c r="X54" s="10">
        <v>43053</v>
      </c>
      <c r="Y54" s="43" t="str">
        <f t="shared" ca="1" si="8"/>
        <v>Đã xong móng</v>
      </c>
      <c r="Z54" s="39" t="str">
        <f>IFERROR(VLOOKUP(AA54,#REF!,2,0),"")</f>
        <v/>
      </c>
      <c r="AA54" s="37"/>
      <c r="AB54" s="14"/>
      <c r="AD54" s="43" t="str">
        <f t="shared" ca="1" si="9"/>
        <v>Quá hạn</v>
      </c>
      <c r="AE54" s="39"/>
      <c r="AF54" s="37"/>
      <c r="AI54" s="43" t="str">
        <f t="shared" ca="1" si="10"/>
        <v>Quá hạn</v>
      </c>
      <c r="AN54" s="49">
        <f t="shared" si="11"/>
        <v>33</v>
      </c>
      <c r="BA54" s="12" t="str">
        <f t="shared" si="12"/>
        <v>chưa PS</v>
      </c>
      <c r="BD54" s="12">
        <f t="shared" ca="1" si="16"/>
        <v>199</v>
      </c>
      <c r="BE54" s="12"/>
      <c r="BF54" s="12">
        <f t="shared" ca="1" si="13"/>
        <v>199</v>
      </c>
      <c r="BG54" s="9" t="str">
        <f t="shared" ca="1" si="17"/>
        <v>Quá hạn</v>
      </c>
      <c r="BH54" s="9"/>
      <c r="BI54" s="9"/>
      <c r="BJ54" s="9"/>
      <c r="BK54" s="9"/>
    </row>
    <row r="55" spans="2:63" x14ac:dyDescent="0.25">
      <c r="B55" s="9" t="str">
        <f t="shared" si="3"/>
        <v>QNM</v>
      </c>
      <c r="C55" s="3" t="s">
        <v>75</v>
      </c>
      <c r="D55" s="9" t="s">
        <v>174</v>
      </c>
      <c r="F55" s="37" t="s">
        <v>17</v>
      </c>
      <c r="G55" s="37" t="s">
        <v>1</v>
      </c>
      <c r="H55" s="37" t="s">
        <v>2</v>
      </c>
      <c r="I55" s="37">
        <v>600</v>
      </c>
      <c r="J55" s="9">
        <v>30</v>
      </c>
      <c r="K55" s="37" t="s">
        <v>11</v>
      </c>
      <c r="L55" s="39">
        <f t="shared" si="15"/>
        <v>45</v>
      </c>
      <c r="M55" s="39">
        <f t="shared" si="4"/>
        <v>10</v>
      </c>
      <c r="N55" s="39">
        <f t="shared" si="5"/>
        <v>20</v>
      </c>
      <c r="O55" s="39">
        <f t="shared" si="6"/>
        <v>30</v>
      </c>
      <c r="P55" s="37" t="s">
        <v>90</v>
      </c>
      <c r="Q55" s="10">
        <v>42808</v>
      </c>
      <c r="R55" s="10">
        <v>42808</v>
      </c>
      <c r="S55" s="12"/>
      <c r="T55" s="43" t="str">
        <f>IFERROR(VLOOKUP(U55,#REF!,2,0),"")</f>
        <v/>
      </c>
      <c r="V55" s="43" t="str">
        <f t="shared" ca="1" si="7"/>
        <v>Đã khởi công</v>
      </c>
      <c r="W55" s="10">
        <v>42955</v>
      </c>
      <c r="X55" s="10">
        <v>42983</v>
      </c>
      <c r="Y55" s="43" t="str">
        <f t="shared" ca="1" si="8"/>
        <v>Đã xong móng</v>
      </c>
      <c r="Z55" s="39" t="str">
        <f>IFERROR(VLOOKUP(AA55,#REF!,2,0),"")</f>
        <v/>
      </c>
      <c r="AA55" s="37"/>
      <c r="AB55" s="14">
        <v>42997</v>
      </c>
      <c r="AD55" s="43" t="str">
        <f t="shared" ca="1" si="9"/>
        <v>Quá hạn</v>
      </c>
      <c r="AE55" s="39"/>
      <c r="AF55" s="37"/>
      <c r="AI55" s="43" t="str">
        <f t="shared" ca="1" si="10"/>
        <v>Quá hạn</v>
      </c>
      <c r="AN55" s="49">
        <f t="shared" si="11"/>
        <v>33</v>
      </c>
      <c r="BA55" s="12" t="str">
        <f t="shared" si="12"/>
        <v>chưa PS</v>
      </c>
      <c r="BD55" s="12">
        <f t="shared" ca="1" si="16"/>
        <v>195</v>
      </c>
      <c r="BE55" s="12"/>
      <c r="BF55" s="12">
        <f t="shared" ca="1" si="13"/>
        <v>195</v>
      </c>
      <c r="BG55" s="9" t="str">
        <f t="shared" ca="1" si="17"/>
        <v>Quá hạn</v>
      </c>
      <c r="BH55" s="9"/>
      <c r="BI55" s="9"/>
      <c r="BJ55" s="9"/>
      <c r="BK55" s="9"/>
    </row>
    <row r="56" spans="2:63" x14ac:dyDescent="0.25">
      <c r="B56" s="9" t="str">
        <f t="shared" si="3"/>
        <v>QNM</v>
      </c>
      <c r="C56" s="3" t="s">
        <v>76</v>
      </c>
      <c r="D56" s="9" t="s">
        <v>175</v>
      </c>
      <c r="F56" s="37" t="s">
        <v>17</v>
      </c>
      <c r="G56" s="37" t="s">
        <v>1</v>
      </c>
      <c r="H56" s="37" t="s">
        <v>2</v>
      </c>
      <c r="I56" s="37" t="s">
        <v>122</v>
      </c>
      <c r="J56" s="9">
        <v>9</v>
      </c>
      <c r="K56" s="37" t="s">
        <v>12</v>
      </c>
      <c r="L56" s="39">
        <f t="shared" si="15"/>
        <v>45</v>
      </c>
      <c r="M56" s="39">
        <f t="shared" si="4"/>
        <v>10</v>
      </c>
      <c r="N56" s="39">
        <f t="shared" si="5"/>
        <v>20</v>
      </c>
      <c r="O56" s="39">
        <f t="shared" si="6"/>
        <v>1</v>
      </c>
      <c r="P56" s="37" t="s">
        <v>90</v>
      </c>
      <c r="Q56" s="10">
        <v>43045</v>
      </c>
      <c r="S56" s="12"/>
      <c r="T56" s="43" t="str">
        <f>IFERROR(VLOOKUP(U56,#REF!,2,0),"")</f>
        <v/>
      </c>
      <c r="U56" s="41" t="s">
        <v>8</v>
      </c>
      <c r="V56" s="43" t="str">
        <f t="shared" ca="1" si="7"/>
        <v>Quá hạn</v>
      </c>
      <c r="Y56" s="43" t="str">
        <f t="shared" ca="1" si="8"/>
        <v/>
      </c>
      <c r="Z56" s="39" t="str">
        <f>IFERROR(VLOOKUP(AA56,#REF!,2,0),"")</f>
        <v/>
      </c>
      <c r="AA56" s="37"/>
      <c r="AB56" s="14" t="s">
        <v>332</v>
      </c>
      <c r="AD56" s="43" t="str">
        <f t="shared" ca="1" si="9"/>
        <v>Quá hạn</v>
      </c>
      <c r="AE56" s="39"/>
      <c r="AF56" s="37"/>
      <c r="AI56" s="43" t="str">
        <f t="shared" ca="1" si="10"/>
        <v>Quá hạn</v>
      </c>
      <c r="AN56" s="49">
        <f t="shared" si="11"/>
        <v>4</v>
      </c>
      <c r="BA56" s="12" t="str">
        <f t="shared" si="12"/>
        <v>chưa PS</v>
      </c>
      <c r="BD56" s="12">
        <f t="shared" ca="1" si="16"/>
        <v>43150</v>
      </c>
      <c r="BE56" s="12"/>
      <c r="BF56" s="12">
        <f t="shared" ca="1" si="13"/>
        <v>43150</v>
      </c>
      <c r="BG56" s="9" t="str">
        <f t="shared" ca="1" si="17"/>
        <v>Quá hạn</v>
      </c>
      <c r="BH56" s="9"/>
      <c r="BI56" s="9"/>
      <c r="BJ56" s="9"/>
      <c r="BK56" s="9"/>
    </row>
    <row r="57" spans="2:63" x14ac:dyDescent="0.25">
      <c r="B57" s="9" t="str">
        <f t="shared" si="3"/>
        <v>QNM</v>
      </c>
      <c r="C57" s="1" t="s">
        <v>77</v>
      </c>
      <c r="D57" s="9" t="s">
        <v>176</v>
      </c>
      <c r="F57" s="37" t="s">
        <v>17</v>
      </c>
      <c r="G57" s="37" t="s">
        <v>1</v>
      </c>
      <c r="H57" s="37" t="s">
        <v>2</v>
      </c>
      <c r="I57" s="37">
        <v>600</v>
      </c>
      <c r="J57" s="9">
        <v>18</v>
      </c>
      <c r="K57" s="37" t="s">
        <v>12</v>
      </c>
      <c r="L57" s="39">
        <f t="shared" si="15"/>
        <v>45</v>
      </c>
      <c r="M57" s="39">
        <f t="shared" si="4"/>
        <v>7</v>
      </c>
      <c r="N57" s="39">
        <f t="shared" si="5"/>
        <v>14</v>
      </c>
      <c r="O57" s="39">
        <f t="shared" si="6"/>
        <v>1</v>
      </c>
      <c r="P57" s="37" t="s">
        <v>90</v>
      </c>
      <c r="Q57" s="10">
        <v>43010</v>
      </c>
      <c r="R57" s="10">
        <f t="shared" ref="R57:R58" si="20">Q57+7</f>
        <v>43017</v>
      </c>
      <c r="S57" s="12"/>
      <c r="T57" s="43" t="str">
        <f>IFERROR(VLOOKUP(U57,#REF!,2,0),"")</f>
        <v/>
      </c>
      <c r="U57" s="41" t="s">
        <v>8</v>
      </c>
      <c r="V57" s="43" t="str">
        <f t="shared" ca="1" si="7"/>
        <v>Quá hạn</v>
      </c>
      <c r="Y57" s="43" t="str">
        <f t="shared" ca="1" si="8"/>
        <v/>
      </c>
      <c r="Z57" s="39" t="str">
        <f>IFERROR(VLOOKUP(AA57,#REF!,2,0),"")</f>
        <v/>
      </c>
      <c r="AA57" s="37"/>
      <c r="AB57" s="14"/>
      <c r="AD57" s="43" t="str">
        <f t="shared" ca="1" si="9"/>
        <v>Quá hạn</v>
      </c>
      <c r="AE57" s="39"/>
      <c r="AF57" s="37"/>
      <c r="AI57" s="43" t="str">
        <f t="shared" ca="1" si="10"/>
        <v>Quá hạn</v>
      </c>
      <c r="AN57" s="49">
        <f t="shared" si="11"/>
        <v>4</v>
      </c>
      <c r="BA57" s="12" t="str">
        <f t="shared" si="12"/>
        <v>chưa PS</v>
      </c>
      <c r="BD57" s="12">
        <f t="shared" ca="1" si="16"/>
        <v>43150</v>
      </c>
      <c r="BE57" s="12"/>
      <c r="BF57" s="12">
        <f t="shared" ca="1" si="13"/>
        <v>43150</v>
      </c>
      <c r="BG57" s="9" t="str">
        <f t="shared" ca="1" si="17"/>
        <v>Quá hạn</v>
      </c>
      <c r="BH57" s="9"/>
      <c r="BI57" s="9"/>
      <c r="BJ57" s="9"/>
      <c r="BK57" s="9"/>
    </row>
    <row r="58" spans="2:63" x14ac:dyDescent="0.25">
      <c r="B58" s="9" t="str">
        <f t="shared" si="3"/>
        <v>QNM</v>
      </c>
      <c r="C58" s="1" t="s">
        <v>78</v>
      </c>
      <c r="D58" s="9" t="s">
        <v>177</v>
      </c>
      <c r="F58" s="37" t="s">
        <v>17</v>
      </c>
      <c r="G58" s="37" t="s">
        <v>1</v>
      </c>
      <c r="H58" s="37" t="s">
        <v>2</v>
      </c>
      <c r="I58" s="37">
        <v>600</v>
      </c>
      <c r="J58" s="9">
        <v>18</v>
      </c>
      <c r="K58" s="37" t="s">
        <v>12</v>
      </c>
      <c r="L58" s="39">
        <f t="shared" si="15"/>
        <v>45</v>
      </c>
      <c r="M58" s="39">
        <f t="shared" si="4"/>
        <v>7</v>
      </c>
      <c r="N58" s="39">
        <f t="shared" si="5"/>
        <v>14</v>
      </c>
      <c r="O58" s="39">
        <f t="shared" si="6"/>
        <v>1</v>
      </c>
      <c r="P58" s="37" t="s">
        <v>90</v>
      </c>
      <c r="Q58" s="10">
        <v>43010</v>
      </c>
      <c r="R58" s="10">
        <f t="shared" si="20"/>
        <v>43017</v>
      </c>
      <c r="S58" s="12"/>
      <c r="T58" s="43" t="str">
        <f>IFERROR(VLOOKUP(U58,#REF!,2,0),"")</f>
        <v/>
      </c>
      <c r="V58" s="43" t="str">
        <f t="shared" ca="1" si="7"/>
        <v>Đã khởi công</v>
      </c>
      <c r="W58" s="10">
        <v>43053</v>
      </c>
      <c r="X58" s="10"/>
      <c r="Y58" s="43" t="str">
        <f t="shared" ca="1" si="8"/>
        <v>Quá hạn</v>
      </c>
      <c r="Z58" s="39" t="str">
        <f>IFERROR(VLOOKUP(AA58,#REF!,2,0),"")</f>
        <v/>
      </c>
      <c r="AA58" s="37" t="s">
        <v>334</v>
      </c>
      <c r="AB58" s="14"/>
      <c r="AD58" s="43" t="str">
        <f t="shared" ca="1" si="9"/>
        <v>Quá hạn</v>
      </c>
      <c r="AE58" s="39"/>
      <c r="AF58" s="37"/>
      <c r="AI58" s="43" t="str">
        <f t="shared" ca="1" si="10"/>
        <v>Quá hạn</v>
      </c>
      <c r="AN58" s="49">
        <f t="shared" si="11"/>
        <v>4</v>
      </c>
      <c r="BA58" s="12" t="str">
        <f t="shared" si="12"/>
        <v>chưa PS</v>
      </c>
      <c r="BD58" s="12">
        <f t="shared" ca="1" si="16"/>
        <v>97</v>
      </c>
      <c r="BE58" s="12"/>
      <c r="BF58" s="12">
        <f t="shared" ca="1" si="13"/>
        <v>97</v>
      </c>
      <c r="BG58" s="9" t="str">
        <f t="shared" ca="1" si="17"/>
        <v>Quá hạn</v>
      </c>
      <c r="BH58" s="9"/>
      <c r="BI58" s="9"/>
      <c r="BJ58" s="9"/>
      <c r="BK58" s="9"/>
    </row>
    <row r="59" spans="2:63" x14ac:dyDescent="0.25">
      <c r="B59" s="9" t="str">
        <f t="shared" si="3"/>
        <v>QNM</v>
      </c>
      <c r="C59" s="3" t="s">
        <v>79</v>
      </c>
      <c r="D59" s="9" t="s">
        <v>178</v>
      </c>
      <c r="F59" s="37" t="s">
        <v>17</v>
      </c>
      <c r="G59" s="37" t="s">
        <v>1</v>
      </c>
      <c r="H59" s="37" t="s">
        <v>2</v>
      </c>
      <c r="I59" s="37">
        <v>600</v>
      </c>
      <c r="J59" s="9">
        <v>18</v>
      </c>
      <c r="K59" s="37" t="s">
        <v>12</v>
      </c>
      <c r="L59" s="39">
        <f t="shared" si="15"/>
        <v>45</v>
      </c>
      <c r="M59" s="39">
        <f t="shared" si="4"/>
        <v>7</v>
      </c>
      <c r="N59" s="39">
        <f t="shared" si="5"/>
        <v>14</v>
      </c>
      <c r="O59" s="39">
        <f t="shared" si="6"/>
        <v>1</v>
      </c>
      <c r="P59" s="37" t="s">
        <v>90</v>
      </c>
      <c r="S59" s="12"/>
      <c r="T59" s="43" t="str">
        <f>IFERROR(VLOOKUP(U59,#REF!,2,0),"")</f>
        <v/>
      </c>
      <c r="V59" s="43" t="str">
        <f t="shared" ca="1" si="7"/>
        <v/>
      </c>
      <c r="Y59" s="43" t="str">
        <f t="shared" ca="1" si="8"/>
        <v/>
      </c>
      <c r="Z59" s="39" t="str">
        <f>IFERROR(VLOOKUP(AA59,#REF!,2,0),"")</f>
        <v/>
      </c>
      <c r="AA59" s="37"/>
      <c r="AB59" s="14"/>
      <c r="AD59" s="43" t="str">
        <f t="shared" ca="1" si="9"/>
        <v>Quá hạn</v>
      </c>
      <c r="AE59" s="39"/>
      <c r="AF59" s="37"/>
      <c r="AI59" s="43" t="str">
        <f t="shared" ca="1" si="10"/>
        <v>Quá hạn</v>
      </c>
      <c r="AN59" s="49">
        <f t="shared" si="11"/>
        <v>4</v>
      </c>
      <c r="BA59" s="12" t="str">
        <f t="shared" si="12"/>
        <v>chưa PS</v>
      </c>
      <c r="BD59" s="12">
        <f t="shared" ca="1" si="16"/>
        <v>43150</v>
      </c>
      <c r="BE59" s="12"/>
      <c r="BF59" s="12">
        <f t="shared" ca="1" si="13"/>
        <v>43150</v>
      </c>
      <c r="BG59" s="9" t="str">
        <f t="shared" ca="1" si="17"/>
        <v>Quá hạn</v>
      </c>
      <c r="BH59" s="9"/>
      <c r="BI59" s="9"/>
      <c r="BJ59" s="9"/>
      <c r="BK59" s="9"/>
    </row>
    <row r="60" spans="2:63" x14ac:dyDescent="0.25">
      <c r="B60" s="9" t="str">
        <f t="shared" si="3"/>
        <v>QNM</v>
      </c>
      <c r="C60" s="3" t="s">
        <v>80</v>
      </c>
      <c r="D60" s="9" t="s">
        <v>179</v>
      </c>
      <c r="F60" s="37" t="s">
        <v>17</v>
      </c>
      <c r="G60" s="37" t="s">
        <v>0</v>
      </c>
      <c r="H60" s="37" t="s">
        <v>2</v>
      </c>
      <c r="I60" s="37" t="s">
        <v>10</v>
      </c>
      <c r="J60" s="9">
        <v>3</v>
      </c>
      <c r="K60" s="37" t="s">
        <v>14</v>
      </c>
      <c r="L60" s="39">
        <f t="shared" si="15"/>
        <v>30</v>
      </c>
      <c r="M60" s="39">
        <f t="shared" si="4"/>
        <v>5</v>
      </c>
      <c r="N60" s="39">
        <f t="shared" si="5"/>
        <v>10</v>
      </c>
      <c r="O60" s="39">
        <f t="shared" si="6"/>
        <v>13</v>
      </c>
      <c r="P60" s="37" t="s">
        <v>90</v>
      </c>
      <c r="Q60" s="10">
        <v>43013</v>
      </c>
      <c r="R60" s="10">
        <f>Q60+7</f>
        <v>43020</v>
      </c>
      <c r="S60" s="12"/>
      <c r="T60" s="43" t="str">
        <f>IFERROR(VLOOKUP(U60,#REF!,2,0),"")</f>
        <v/>
      </c>
      <c r="V60" s="43" t="str">
        <f t="shared" ca="1" si="7"/>
        <v>Đã khởi công</v>
      </c>
      <c r="W60" s="10">
        <v>43013</v>
      </c>
      <c r="X60" s="14">
        <v>43032</v>
      </c>
      <c r="Y60" s="43" t="str">
        <f t="shared" ca="1" si="8"/>
        <v>Đã xong móng</v>
      </c>
      <c r="Z60" s="39" t="str">
        <f>IFERROR(VLOOKUP(AA60,#REF!,2,0),"")</f>
        <v/>
      </c>
      <c r="AA60" s="37"/>
      <c r="AB60" s="14">
        <v>43032</v>
      </c>
      <c r="AC60" s="14">
        <v>43032</v>
      </c>
      <c r="AD60" s="43" t="str">
        <f t="shared" ca="1" si="9"/>
        <v>Đã xong cột</v>
      </c>
      <c r="AE60" s="39"/>
      <c r="AF60" s="37"/>
      <c r="AI60" s="43" t="str">
        <f t="shared" ca="1" si="10"/>
        <v>Quá hạn</v>
      </c>
      <c r="AN60" s="49">
        <f t="shared" si="11"/>
        <v>16</v>
      </c>
      <c r="BA60" s="12" t="str">
        <f t="shared" si="12"/>
        <v>chưa PS</v>
      </c>
      <c r="BD60" s="12">
        <f t="shared" ca="1" si="16"/>
        <v>137</v>
      </c>
      <c r="BE60" s="12"/>
      <c r="BF60" s="12">
        <f t="shared" ca="1" si="13"/>
        <v>137</v>
      </c>
      <c r="BG60" s="9" t="str">
        <f t="shared" ca="1" si="17"/>
        <v>Quá hạn</v>
      </c>
      <c r="BH60" s="9"/>
      <c r="BI60" s="9"/>
      <c r="BJ60" s="9"/>
      <c r="BK60" s="9"/>
    </row>
    <row r="61" spans="2:63" x14ac:dyDescent="0.25">
      <c r="B61" s="9" t="str">
        <f t="shared" si="3"/>
        <v>QNM</v>
      </c>
      <c r="C61" s="3" t="s">
        <v>81</v>
      </c>
      <c r="D61" s="9" t="s">
        <v>180</v>
      </c>
      <c r="F61" s="37" t="s">
        <v>16</v>
      </c>
      <c r="G61" s="37" t="s">
        <v>1</v>
      </c>
      <c r="H61" s="37" t="s">
        <v>2</v>
      </c>
      <c r="I61" s="37" t="s">
        <v>3</v>
      </c>
      <c r="J61" s="9">
        <v>10</v>
      </c>
      <c r="K61" s="37" t="s">
        <v>215</v>
      </c>
      <c r="L61" s="39">
        <f t="shared" si="15"/>
        <v>45</v>
      </c>
      <c r="M61" s="39">
        <f t="shared" si="4"/>
        <v>10</v>
      </c>
      <c r="N61" s="39">
        <f t="shared" si="5"/>
        <v>20</v>
      </c>
      <c r="O61" s="39" t="str">
        <f t="shared" si="6"/>
        <v>Kiểm tra loại nhà</v>
      </c>
      <c r="P61" s="37" t="s">
        <v>90</v>
      </c>
      <c r="S61" s="12"/>
      <c r="T61" s="43" t="str">
        <f>IFERROR(VLOOKUP(U61,#REF!,2,0),"")</f>
        <v/>
      </c>
      <c r="V61" s="43" t="str">
        <f t="shared" ca="1" si="7"/>
        <v/>
      </c>
      <c r="Y61" s="43" t="str">
        <f t="shared" ca="1" si="8"/>
        <v/>
      </c>
      <c r="Z61" s="39" t="str">
        <f>IFERROR(VLOOKUP(AA61,#REF!,2,0),"")</f>
        <v/>
      </c>
      <c r="AA61" s="37"/>
      <c r="AB61" s="14" t="s">
        <v>3</v>
      </c>
      <c r="AD61" s="43" t="str">
        <f t="shared" ca="1" si="9"/>
        <v>Quá hạn</v>
      </c>
      <c r="AE61" s="39"/>
      <c r="AF61" s="37"/>
      <c r="AI61" s="43" t="str">
        <f t="shared" ca="1" si="10"/>
        <v/>
      </c>
      <c r="AN61" s="49" t="e">
        <f t="shared" si="11"/>
        <v>#VALUE!</v>
      </c>
      <c r="BA61" s="12" t="str">
        <f t="shared" si="12"/>
        <v>chưa PS</v>
      </c>
      <c r="BD61" s="12">
        <f t="shared" ca="1" si="16"/>
        <v>43150</v>
      </c>
      <c r="BE61" s="12"/>
      <c r="BF61" s="12">
        <f t="shared" ca="1" si="13"/>
        <v>43150</v>
      </c>
      <c r="BG61" s="9" t="str">
        <f t="shared" ca="1" si="17"/>
        <v>Quá hạn</v>
      </c>
      <c r="BH61" s="9"/>
      <c r="BI61" s="9"/>
      <c r="BJ61" s="9"/>
      <c r="BK61" s="9"/>
    </row>
    <row r="62" spans="2:63" x14ac:dyDescent="0.25">
      <c r="B62" s="9" t="str">
        <f t="shared" si="3"/>
        <v>QTI</v>
      </c>
      <c r="C62" s="3" t="s">
        <v>82</v>
      </c>
      <c r="D62" s="9" t="s">
        <v>181</v>
      </c>
      <c r="F62" s="37" t="s">
        <v>16</v>
      </c>
      <c r="G62" s="37" t="s">
        <v>1</v>
      </c>
      <c r="H62" s="37" t="s">
        <v>2</v>
      </c>
      <c r="I62" s="37">
        <v>600</v>
      </c>
      <c r="J62" s="9">
        <v>18</v>
      </c>
      <c r="K62" s="37" t="s">
        <v>12</v>
      </c>
      <c r="L62" s="39">
        <f t="shared" si="15"/>
        <v>45</v>
      </c>
      <c r="M62" s="39">
        <f t="shared" si="4"/>
        <v>7</v>
      </c>
      <c r="N62" s="39">
        <f t="shared" si="5"/>
        <v>14</v>
      </c>
      <c r="O62" s="39">
        <f t="shared" si="6"/>
        <v>1</v>
      </c>
      <c r="P62" s="37" t="s">
        <v>90</v>
      </c>
      <c r="S62" s="12"/>
      <c r="T62" s="43" t="str">
        <f>IFERROR(VLOOKUP(U62,#REF!,2,0),"")</f>
        <v/>
      </c>
      <c r="V62" s="43" t="str">
        <f t="shared" ca="1" si="7"/>
        <v/>
      </c>
      <c r="Y62" s="43" t="str">
        <f t="shared" ca="1" si="8"/>
        <v/>
      </c>
      <c r="Z62" s="39" t="str">
        <f>IFERROR(VLOOKUP(AA62,#REF!,2,0),"")</f>
        <v/>
      </c>
      <c r="AA62" s="37"/>
      <c r="AB62" s="14"/>
      <c r="AD62" s="43" t="str">
        <f t="shared" ca="1" si="9"/>
        <v>Quá hạn</v>
      </c>
      <c r="AE62" s="39"/>
      <c r="AF62" s="37"/>
      <c r="AI62" s="43" t="str">
        <f t="shared" ca="1" si="10"/>
        <v>Quá hạn</v>
      </c>
      <c r="AN62" s="49">
        <f t="shared" si="11"/>
        <v>4</v>
      </c>
      <c r="BA62" s="12" t="str">
        <f t="shared" si="12"/>
        <v>chưa PS</v>
      </c>
      <c r="BD62" s="12">
        <f t="shared" ca="1" si="16"/>
        <v>43150</v>
      </c>
      <c r="BE62" s="12"/>
      <c r="BF62" s="12">
        <f t="shared" ca="1" si="13"/>
        <v>43150</v>
      </c>
      <c r="BG62" s="9" t="str">
        <f t="shared" ca="1" si="17"/>
        <v>Quá hạn</v>
      </c>
      <c r="BH62" s="9"/>
      <c r="BI62" s="9"/>
      <c r="BJ62" s="9"/>
      <c r="BK62" s="9"/>
    </row>
    <row r="63" spans="2:63" x14ac:dyDescent="0.25">
      <c r="B63" s="9" t="str">
        <f t="shared" si="3"/>
        <v>QTI</v>
      </c>
      <c r="C63" s="3" t="s">
        <v>83</v>
      </c>
      <c r="D63" s="9">
        <v>0</v>
      </c>
      <c r="F63" s="37" t="s">
        <v>15</v>
      </c>
      <c r="G63" s="37" t="s">
        <v>1</v>
      </c>
      <c r="H63" s="37" t="s">
        <v>2</v>
      </c>
      <c r="I63" s="37">
        <v>600</v>
      </c>
      <c r="J63" s="9">
        <v>42</v>
      </c>
      <c r="K63" s="37" t="s">
        <v>12</v>
      </c>
      <c r="L63" s="39">
        <f t="shared" si="15"/>
        <v>45</v>
      </c>
      <c r="M63" s="39">
        <f t="shared" si="4"/>
        <v>10</v>
      </c>
      <c r="N63" s="39">
        <f t="shared" si="5"/>
        <v>20</v>
      </c>
      <c r="O63" s="39">
        <f t="shared" si="6"/>
        <v>1</v>
      </c>
      <c r="P63" s="37" t="s">
        <v>90</v>
      </c>
      <c r="S63" s="12"/>
      <c r="T63" s="43" t="str">
        <f>IFERROR(VLOOKUP(U63,#REF!,2,0),"")</f>
        <v/>
      </c>
      <c r="V63" s="43" t="str">
        <f t="shared" ca="1" si="7"/>
        <v/>
      </c>
      <c r="Y63" s="43" t="str">
        <f t="shared" ca="1" si="8"/>
        <v/>
      </c>
      <c r="Z63" s="39" t="str">
        <f>IFERROR(VLOOKUP(AA63,#REF!,2,0),"")</f>
        <v/>
      </c>
      <c r="AA63" s="37"/>
      <c r="AB63" s="14"/>
      <c r="AD63" s="43" t="str">
        <f t="shared" ca="1" si="9"/>
        <v>Quá hạn</v>
      </c>
      <c r="AE63" s="39"/>
      <c r="AF63" s="37"/>
      <c r="AI63" s="43" t="str">
        <f t="shared" ca="1" si="10"/>
        <v>Quá hạn</v>
      </c>
      <c r="AN63" s="49">
        <f t="shared" si="11"/>
        <v>4</v>
      </c>
      <c r="BA63" s="12" t="str">
        <f t="shared" si="12"/>
        <v>chưa PS</v>
      </c>
      <c r="BD63" s="12">
        <f t="shared" ca="1" si="16"/>
        <v>43150</v>
      </c>
      <c r="BE63" s="12"/>
      <c r="BF63" s="12">
        <f t="shared" ca="1" si="13"/>
        <v>43150</v>
      </c>
      <c r="BG63" s="9" t="str">
        <f t="shared" ca="1" si="17"/>
        <v>Quá hạn</v>
      </c>
      <c r="BH63" s="9"/>
      <c r="BI63" s="9"/>
      <c r="BJ63" s="9"/>
      <c r="BK63" s="9"/>
    </row>
    <row r="64" spans="2:63" x14ac:dyDescent="0.25">
      <c r="B64" s="9" t="str">
        <f t="shared" si="3"/>
        <v>QTI</v>
      </c>
      <c r="C64" s="3" t="s">
        <v>84</v>
      </c>
      <c r="D64" s="9" t="s">
        <v>182</v>
      </c>
      <c r="F64" s="37" t="s">
        <v>15</v>
      </c>
      <c r="G64" s="37" t="s">
        <v>1</v>
      </c>
      <c r="H64" s="37" t="s">
        <v>2</v>
      </c>
      <c r="I64" s="37">
        <v>600</v>
      </c>
      <c r="J64" s="9">
        <v>42</v>
      </c>
      <c r="K64" s="37" t="s">
        <v>12</v>
      </c>
      <c r="L64" s="39">
        <f t="shared" si="15"/>
        <v>45</v>
      </c>
      <c r="M64" s="39">
        <f t="shared" si="4"/>
        <v>10</v>
      </c>
      <c r="N64" s="39">
        <f t="shared" si="5"/>
        <v>20</v>
      </c>
      <c r="O64" s="39">
        <f t="shared" si="6"/>
        <v>1</v>
      </c>
      <c r="P64" s="37" t="s">
        <v>90</v>
      </c>
      <c r="S64" s="12"/>
      <c r="T64" s="43" t="str">
        <f>IFERROR(VLOOKUP(U64,#REF!,2,0),"")</f>
        <v/>
      </c>
      <c r="V64" s="43" t="str">
        <f t="shared" ca="1" si="7"/>
        <v/>
      </c>
      <c r="Y64" s="43" t="str">
        <f t="shared" ca="1" si="8"/>
        <v/>
      </c>
      <c r="Z64" s="39" t="str">
        <f>IFERROR(VLOOKUP(AA64,#REF!,2,0),"")</f>
        <v/>
      </c>
      <c r="AA64" s="37"/>
      <c r="AB64" s="14"/>
      <c r="AD64" s="43" t="str">
        <f t="shared" ca="1" si="9"/>
        <v>Quá hạn</v>
      </c>
      <c r="AE64" s="39"/>
      <c r="AF64" s="37"/>
      <c r="AI64" s="43" t="str">
        <f t="shared" ca="1" si="10"/>
        <v>Quá hạn</v>
      </c>
      <c r="AN64" s="49">
        <f t="shared" si="11"/>
        <v>4</v>
      </c>
      <c r="BA64" s="12" t="str">
        <f t="shared" si="12"/>
        <v>chưa PS</v>
      </c>
      <c r="BD64" s="12">
        <f t="shared" ca="1" si="16"/>
        <v>43150</v>
      </c>
      <c r="BE64" s="12"/>
      <c r="BF64" s="12">
        <f t="shared" ca="1" si="13"/>
        <v>43150</v>
      </c>
      <c r="BG64" s="9" t="str">
        <f t="shared" ca="1" si="17"/>
        <v>Quá hạn</v>
      </c>
      <c r="BH64" s="9"/>
      <c r="BI64" s="9"/>
      <c r="BJ64" s="9"/>
      <c r="BK64" s="9"/>
    </row>
    <row r="65" spans="2:63" x14ac:dyDescent="0.25">
      <c r="B65" s="9" t="str">
        <f t="shared" si="3"/>
        <v>QTI</v>
      </c>
      <c r="C65" s="6" t="s">
        <v>85</v>
      </c>
      <c r="D65" s="9" t="s">
        <v>183</v>
      </c>
      <c r="F65" s="37" t="s">
        <v>15</v>
      </c>
      <c r="G65" s="37" t="s">
        <v>1</v>
      </c>
      <c r="H65" s="37" t="s">
        <v>2</v>
      </c>
      <c r="I65" s="37">
        <v>600</v>
      </c>
      <c r="J65" s="9">
        <v>36</v>
      </c>
      <c r="K65" s="37" t="s">
        <v>12</v>
      </c>
      <c r="L65" s="39">
        <f t="shared" ref="L65:L96" si="21">IF(G65="Trên mái",30,IF(AND(G65="Dưới đất",H65="Đồng bằng"),45,IF(AND(G65="Dưới đất",H65="Miền núi"),60,IF(AND(G65="Cột tự đứng",H65="Ven biển"),150,"Kiểm tra lại lại trạm và địa hình"))))</f>
        <v>45</v>
      </c>
      <c r="M65" s="39">
        <f t="shared" si="4"/>
        <v>10</v>
      </c>
      <c r="N65" s="39">
        <f t="shared" si="5"/>
        <v>20</v>
      </c>
      <c r="O65" s="39">
        <f t="shared" si="6"/>
        <v>1</v>
      </c>
      <c r="P65" s="37" t="s">
        <v>90</v>
      </c>
      <c r="Q65" s="10">
        <v>43014</v>
      </c>
      <c r="S65" s="12"/>
      <c r="T65" s="43" t="str">
        <f>IFERROR(VLOOKUP(U65,#REF!,2,0),"")</f>
        <v/>
      </c>
      <c r="V65" s="43" t="str">
        <f t="shared" ca="1" si="7"/>
        <v>Đã khởi công</v>
      </c>
      <c r="W65" s="10">
        <v>43040</v>
      </c>
      <c r="Y65" s="43" t="str">
        <f t="shared" ca="1" si="8"/>
        <v>Quá hạn</v>
      </c>
      <c r="Z65" s="39" t="str">
        <f>IFERROR(VLOOKUP(AA65,#REF!,2,0),"")</f>
        <v/>
      </c>
      <c r="AA65" s="37" t="s">
        <v>334</v>
      </c>
      <c r="AB65" s="14">
        <v>43066</v>
      </c>
      <c r="AD65" s="43" t="str">
        <f t="shared" ca="1" si="9"/>
        <v>Quá hạn</v>
      </c>
      <c r="AE65" s="39"/>
      <c r="AF65" s="37"/>
      <c r="AI65" s="43" t="str">
        <f t="shared" ca="1" si="10"/>
        <v>Quá hạn</v>
      </c>
      <c r="AN65" s="49">
        <f t="shared" si="11"/>
        <v>4</v>
      </c>
      <c r="BA65" s="12" t="str">
        <f t="shared" si="12"/>
        <v>chưa PS</v>
      </c>
      <c r="BD65" s="12">
        <f t="shared" ref="BD65:BD95" ca="1" si="22">IF(AZ65="",TODAY()-W65,AZ65-W65)</f>
        <v>110</v>
      </c>
      <c r="BE65" s="12"/>
      <c r="BF65" s="12">
        <f t="shared" ca="1" si="13"/>
        <v>110</v>
      </c>
      <c r="BG65" s="9" t="str">
        <f t="shared" ref="BG65:BG95" ca="1" si="23">IF(BF65&lt;L65,"Trong hạn","Quá hạn")</f>
        <v>Quá hạn</v>
      </c>
      <c r="BH65" s="9"/>
      <c r="BI65" s="9"/>
      <c r="BJ65" s="9"/>
      <c r="BK65" s="9"/>
    </row>
    <row r="66" spans="2:63" x14ac:dyDescent="0.25">
      <c r="B66" s="9" t="str">
        <f t="shared" ref="B66:B128" si="24">LEFT(C66,3)</f>
        <v>QTI</v>
      </c>
      <c r="C66" s="6" t="s">
        <v>86</v>
      </c>
      <c r="D66" s="9" t="s">
        <v>184</v>
      </c>
      <c r="F66" s="37" t="s">
        <v>15</v>
      </c>
      <c r="G66" s="37" t="s">
        <v>1</v>
      </c>
      <c r="H66" s="37" t="s">
        <v>2</v>
      </c>
      <c r="I66" s="37">
        <v>600</v>
      </c>
      <c r="J66" s="9">
        <v>42</v>
      </c>
      <c r="K66" s="37" t="s">
        <v>12</v>
      </c>
      <c r="L66" s="39">
        <f t="shared" si="21"/>
        <v>45</v>
      </c>
      <c r="M66" s="39">
        <f t="shared" ref="M66:M95" si="25">IF(AND(I66=600,J66&lt;19),7,IF(AND(I66="BTLT",J66&lt;23),7,IF(I66="Cóc",5,IF(G66="Trên mái",7,IF(AND(G66="Dưới đất",J66&lt;49),10,IF(AND(G66="Dưới đất",J66&gt;49),12,"Kiểm tra loại cột"))))))</f>
        <v>10</v>
      </c>
      <c r="N66" s="39">
        <f t="shared" ref="N66:N95" si="26">IF(AND(I66=600,J66&lt;19),14,IF(AND(I66="BTLT",J66&lt;23),10,IF(I66="Cóc",10,IF(G66="Trên mái",14,IF(AND(G66="Dưới đất",J66&lt;49),20,IF(AND(G66="Dưới đất",J66&gt;49),23,"Kiểm tra loại cột"))))))</f>
        <v>20</v>
      </c>
      <c r="O66" s="39">
        <f t="shared" ref="O66:O95" si="27">IF(OR(AND(G66="Trên mái",K66="Cont"),AND(G66="Trên mái",K66="Xây")),25,IF(OR(AND(G66="Dưới đất",K66="Cont"),AND(G66="Dưới đất",K66="Xây")),30,IF(K66="Cải tạo",7,IF(K66="CS",2,IF(K66="DC Mini",1,IF(K66="Minishelter",N66+3,"Kiểm tra loại nhà"))))))</f>
        <v>1</v>
      </c>
      <c r="P66" s="37" t="s">
        <v>90</v>
      </c>
      <c r="Q66" s="10">
        <v>43014</v>
      </c>
      <c r="S66" s="12"/>
      <c r="T66" s="43" t="str">
        <f>IFERROR(VLOOKUP(U66,#REF!,2,0),"")</f>
        <v/>
      </c>
      <c r="V66" s="43" t="str">
        <f t="shared" ref="V66:V129" ca="1" si="28">IF(W66&lt;&gt;"","Đã khởi công",IF(Q66&lt;&gt;"",IF(X66="",IF(W66&lt;&gt;"",IF(W66-R66&lt;8,"Trong hạn","Quá hạn"),IF(TODAY()-R66&lt;8,"Trong hạn","Quá hạn")),""),""))</f>
        <v>Đã khởi công</v>
      </c>
      <c r="W66" s="10">
        <v>43040</v>
      </c>
      <c r="Y66" s="43" t="str">
        <f t="shared" ref="Y66:Y129" ca="1" si="29">IFERROR(IF(W66&lt;&gt;"",IF(X66="",IF(AND(X66="",TODAY()-W66-M66&gt;0),"Quá hạn","Trong hạn"),"Đã xong móng"),""),"")</f>
        <v>Quá hạn</v>
      </c>
      <c r="Z66" s="39" t="str">
        <f>IFERROR(VLOOKUP(AA66,#REF!,2,0),"")</f>
        <v/>
      </c>
      <c r="AA66" s="37" t="s">
        <v>334</v>
      </c>
      <c r="AB66" s="14"/>
      <c r="AD66" s="43" t="str">
        <f t="shared" ref="AD66:AD129" ca="1" si="30">IFERROR(IF(AC66="",IF(AND(AC66="",TODAY()-$W66-N66&gt;0),"Quá hạn","Trong hạn"),"Đã xong cột"),"")</f>
        <v>Quá hạn</v>
      </c>
      <c r="AE66" s="39"/>
      <c r="AF66" s="37"/>
      <c r="AI66" s="43" t="str">
        <f t="shared" ref="AI66:AI129" ca="1" si="31">IFERROR(IF(AH66="",IF(AND(AH66="",TODAY()-$W66-O66&gt;0),"Quá hạn","Trong hạn"),"Đã xong nhà"),"")</f>
        <v>Quá hạn</v>
      </c>
      <c r="AN66" s="49">
        <f t="shared" ref="AN66:AN129" si="32">O66+3</f>
        <v>4</v>
      </c>
      <c r="BA66" s="12" t="str">
        <f t="shared" ref="BA66:BA129" si="33">IF($AZ66&lt;&gt;"","Đã PS","chưa PS")</f>
        <v>chưa PS</v>
      </c>
      <c r="BD66" s="12">
        <f t="shared" ca="1" si="22"/>
        <v>110</v>
      </c>
      <c r="BE66" s="12"/>
      <c r="BF66" s="12">
        <f t="shared" ref="BF66:BF95" ca="1" si="34">BD66-BE66</f>
        <v>110</v>
      </c>
      <c r="BG66" s="9" t="str">
        <f t="shared" ca="1" si="23"/>
        <v>Quá hạn</v>
      </c>
      <c r="BH66" s="9"/>
      <c r="BI66" s="9"/>
      <c r="BJ66" s="9"/>
      <c r="BK66" s="9"/>
    </row>
    <row r="67" spans="2:63" x14ac:dyDescent="0.25">
      <c r="B67" s="9" t="str">
        <f t="shared" si="24"/>
        <v>TTH</v>
      </c>
      <c r="C67" s="6" t="s">
        <v>87</v>
      </c>
      <c r="D67" s="9" t="s">
        <v>185</v>
      </c>
      <c r="F67" s="37" t="s">
        <v>120</v>
      </c>
      <c r="G67" s="37" t="s">
        <v>1</v>
      </c>
      <c r="H67" s="37" t="s">
        <v>2</v>
      </c>
      <c r="I67" s="37">
        <v>600</v>
      </c>
      <c r="J67" s="9">
        <v>42</v>
      </c>
      <c r="L67" s="39">
        <f t="shared" si="21"/>
        <v>45</v>
      </c>
      <c r="M67" s="39">
        <f t="shared" si="25"/>
        <v>10</v>
      </c>
      <c r="N67" s="39">
        <f t="shared" si="26"/>
        <v>20</v>
      </c>
      <c r="O67" s="39" t="str">
        <f t="shared" si="27"/>
        <v>Kiểm tra loại nhà</v>
      </c>
      <c r="P67" s="37" t="s">
        <v>90</v>
      </c>
      <c r="Q67" s="10">
        <v>42984</v>
      </c>
      <c r="R67" s="10">
        <f>Q67+7</f>
        <v>42991</v>
      </c>
      <c r="S67" s="12"/>
      <c r="T67" s="43" t="str">
        <f>IFERROR(VLOOKUP(U67,#REF!,2,0),"")</f>
        <v/>
      </c>
      <c r="V67" s="43" t="str">
        <f t="shared" ca="1" si="28"/>
        <v>Đã khởi công</v>
      </c>
      <c r="W67" s="10">
        <v>43014</v>
      </c>
      <c r="X67" s="14">
        <v>43041</v>
      </c>
      <c r="Y67" s="43" t="str">
        <f t="shared" ca="1" si="29"/>
        <v>Đã xong móng</v>
      </c>
      <c r="Z67" s="39" t="str">
        <f>IFERROR(VLOOKUP(AA67,#REF!,2,0),"")</f>
        <v/>
      </c>
      <c r="AA67" s="37"/>
      <c r="AB67" s="14"/>
      <c r="AD67" s="43" t="str">
        <f t="shared" ca="1" si="30"/>
        <v>Quá hạn</v>
      </c>
      <c r="AE67" s="39"/>
      <c r="AF67" s="37"/>
      <c r="AI67" s="43" t="str">
        <f t="shared" ca="1" si="31"/>
        <v/>
      </c>
      <c r="AN67" s="49" t="e">
        <f t="shared" si="32"/>
        <v>#VALUE!</v>
      </c>
      <c r="BA67" s="12" t="str">
        <f t="shared" si="33"/>
        <v>chưa PS</v>
      </c>
      <c r="BD67" s="12">
        <f t="shared" ca="1" si="22"/>
        <v>136</v>
      </c>
      <c r="BE67" s="12"/>
      <c r="BF67" s="12">
        <f t="shared" ca="1" si="34"/>
        <v>136</v>
      </c>
      <c r="BG67" s="9" t="str">
        <f t="shared" ca="1" si="23"/>
        <v>Quá hạn</v>
      </c>
      <c r="BH67" s="9"/>
      <c r="BI67" s="9"/>
      <c r="BJ67" s="9"/>
      <c r="BK67" s="9"/>
    </row>
    <row r="68" spans="2:63" x14ac:dyDescent="0.25">
      <c r="B68" s="9" t="str">
        <f t="shared" si="24"/>
        <v>TTH</v>
      </c>
      <c r="C68" s="6" t="s">
        <v>88</v>
      </c>
      <c r="D68" s="9" t="s">
        <v>186</v>
      </c>
      <c r="F68" s="37" t="s">
        <v>15</v>
      </c>
      <c r="G68" s="37" t="s">
        <v>1</v>
      </c>
      <c r="H68" s="37" t="s">
        <v>2</v>
      </c>
      <c r="I68" s="37">
        <v>600</v>
      </c>
      <c r="J68" s="9">
        <v>30</v>
      </c>
      <c r="K68" s="37" t="s">
        <v>12</v>
      </c>
      <c r="L68" s="39">
        <f t="shared" si="21"/>
        <v>45</v>
      </c>
      <c r="M68" s="39">
        <f t="shared" si="25"/>
        <v>10</v>
      </c>
      <c r="N68" s="39">
        <f t="shared" si="26"/>
        <v>20</v>
      </c>
      <c r="O68" s="39">
        <f t="shared" si="27"/>
        <v>1</v>
      </c>
      <c r="P68" s="37" t="s">
        <v>90</v>
      </c>
      <c r="Q68" s="10">
        <v>42984</v>
      </c>
      <c r="S68" s="12"/>
      <c r="T68" s="43" t="str">
        <f>IFERROR(VLOOKUP(U68,#REF!,2,0),"")</f>
        <v/>
      </c>
      <c r="U68" s="41" t="s">
        <v>4</v>
      </c>
      <c r="V68" s="43" t="str">
        <f t="shared" ca="1" si="28"/>
        <v>Quá hạn</v>
      </c>
      <c r="Y68" s="43" t="str">
        <f t="shared" ca="1" si="29"/>
        <v/>
      </c>
      <c r="Z68" s="39" t="str">
        <f>IFERROR(VLOOKUP(AA68,#REF!,2,0),"")</f>
        <v/>
      </c>
      <c r="AA68" s="37"/>
      <c r="AB68" s="14"/>
      <c r="AD68" s="43" t="str">
        <f t="shared" ca="1" si="30"/>
        <v>Quá hạn</v>
      </c>
      <c r="AE68" s="39"/>
      <c r="AF68" s="37"/>
      <c r="AI68" s="43" t="str">
        <f t="shared" ca="1" si="31"/>
        <v>Quá hạn</v>
      </c>
      <c r="AN68" s="49">
        <f t="shared" si="32"/>
        <v>4</v>
      </c>
      <c r="BA68" s="12" t="str">
        <f t="shared" si="33"/>
        <v>chưa PS</v>
      </c>
      <c r="BD68" s="12">
        <f t="shared" ca="1" si="22"/>
        <v>43150</v>
      </c>
      <c r="BE68" s="12"/>
      <c r="BF68" s="12">
        <f t="shared" ca="1" si="34"/>
        <v>43150</v>
      </c>
      <c r="BG68" s="9" t="str">
        <f t="shared" ca="1" si="23"/>
        <v>Quá hạn</v>
      </c>
      <c r="BH68" s="9"/>
      <c r="BI68" s="9"/>
      <c r="BJ68" s="9"/>
      <c r="BK68" s="9"/>
    </row>
    <row r="69" spans="2:63" x14ac:dyDescent="0.25">
      <c r="B69" s="9" t="str">
        <f t="shared" si="24"/>
        <v>TTH</v>
      </c>
      <c r="C69" s="6" t="s">
        <v>89</v>
      </c>
      <c r="D69" s="9" t="s">
        <v>187</v>
      </c>
      <c r="F69" s="37" t="s">
        <v>17</v>
      </c>
      <c r="G69" s="37" t="s">
        <v>1</v>
      </c>
      <c r="H69" s="37" t="s">
        <v>2</v>
      </c>
      <c r="I69" s="37" t="s">
        <v>3</v>
      </c>
      <c r="J69" s="9">
        <v>12</v>
      </c>
      <c r="K69" s="37" t="s">
        <v>14</v>
      </c>
      <c r="L69" s="39">
        <f t="shared" si="21"/>
        <v>45</v>
      </c>
      <c r="M69" s="39">
        <f t="shared" si="25"/>
        <v>10</v>
      </c>
      <c r="N69" s="39">
        <f t="shared" si="26"/>
        <v>20</v>
      </c>
      <c r="O69" s="39">
        <f t="shared" si="27"/>
        <v>23</v>
      </c>
      <c r="P69" s="37" t="s">
        <v>90</v>
      </c>
      <c r="Q69" s="10">
        <v>43070</v>
      </c>
      <c r="R69" s="10">
        <v>43070</v>
      </c>
      <c r="S69" s="12"/>
      <c r="T69" s="43" t="str">
        <f>IFERROR(VLOOKUP(U69,#REF!,2,0),"")</f>
        <v/>
      </c>
      <c r="V69" s="43" t="str">
        <f t="shared" ca="1" si="28"/>
        <v>Đã khởi công</v>
      </c>
      <c r="W69" s="10">
        <v>43070</v>
      </c>
      <c r="X69" s="10">
        <v>43070</v>
      </c>
      <c r="Y69" s="43" t="str">
        <f t="shared" ca="1" si="29"/>
        <v>Đã xong móng</v>
      </c>
      <c r="Z69" s="39" t="str">
        <f>IFERROR(VLOOKUP(AA69,#REF!,2,0),"")</f>
        <v/>
      </c>
      <c r="AA69" s="37"/>
      <c r="AB69" s="14" t="s">
        <v>3</v>
      </c>
      <c r="AC69" s="14" t="s">
        <v>3</v>
      </c>
      <c r="AD69" s="43" t="str">
        <f t="shared" ca="1" si="30"/>
        <v>Đã xong cột</v>
      </c>
      <c r="AE69" s="39"/>
      <c r="AF69" s="37"/>
      <c r="AI69" s="43" t="str">
        <f t="shared" ca="1" si="31"/>
        <v>Quá hạn</v>
      </c>
      <c r="AN69" s="49">
        <f t="shared" si="32"/>
        <v>26</v>
      </c>
      <c r="BA69" s="12" t="str">
        <f t="shared" si="33"/>
        <v>chưa PS</v>
      </c>
      <c r="BD69" s="12">
        <f t="shared" ca="1" si="22"/>
        <v>80</v>
      </c>
      <c r="BE69" s="12"/>
      <c r="BF69" s="12">
        <f t="shared" ca="1" si="34"/>
        <v>80</v>
      </c>
      <c r="BG69" s="9" t="str">
        <f t="shared" ca="1" si="23"/>
        <v>Quá hạn</v>
      </c>
      <c r="BH69" s="9"/>
      <c r="BI69" s="9"/>
      <c r="BJ69" s="9"/>
      <c r="BK69" s="9"/>
    </row>
    <row r="70" spans="2:63" x14ac:dyDescent="0.25">
      <c r="B70" s="9" t="str">
        <f t="shared" si="24"/>
        <v>BDH</v>
      </c>
      <c r="C70" s="6" t="s">
        <v>91</v>
      </c>
      <c r="D70" s="9" t="s">
        <v>188</v>
      </c>
      <c r="F70" s="37" t="s">
        <v>121</v>
      </c>
      <c r="G70" s="37" t="s">
        <v>1</v>
      </c>
      <c r="H70" s="37" t="s">
        <v>2</v>
      </c>
      <c r="I70" s="37">
        <v>600</v>
      </c>
      <c r="J70" s="9">
        <v>30</v>
      </c>
      <c r="K70" s="37" t="s">
        <v>11</v>
      </c>
      <c r="L70" s="39">
        <f t="shared" si="21"/>
        <v>45</v>
      </c>
      <c r="M70" s="39">
        <f t="shared" si="25"/>
        <v>10</v>
      </c>
      <c r="N70" s="39">
        <f t="shared" si="26"/>
        <v>20</v>
      </c>
      <c r="O70" s="39">
        <f t="shared" si="27"/>
        <v>30</v>
      </c>
      <c r="P70" s="37" t="s">
        <v>118</v>
      </c>
      <c r="Q70" s="10">
        <v>42651</v>
      </c>
      <c r="R70" s="10">
        <v>42651</v>
      </c>
      <c r="S70" s="12"/>
      <c r="T70" s="43" t="str">
        <f>IFERROR(VLOOKUP(U70,#REF!,2,0),"")</f>
        <v/>
      </c>
      <c r="V70" s="43" t="str">
        <f t="shared" ca="1" si="28"/>
        <v>Đã khởi công</v>
      </c>
      <c r="W70" s="10">
        <v>42660</v>
      </c>
      <c r="X70" s="10">
        <v>42705</v>
      </c>
      <c r="Y70" s="43" t="str">
        <f t="shared" ca="1" si="29"/>
        <v>Đã xong móng</v>
      </c>
      <c r="Z70" s="39" t="str">
        <f>IFERROR(VLOOKUP(AA70,#REF!,2,0),"")</f>
        <v/>
      </c>
      <c r="AA70" s="37"/>
      <c r="AB70" s="14">
        <v>42748</v>
      </c>
      <c r="AC70" s="14">
        <v>42909</v>
      </c>
      <c r="AD70" s="43" t="str">
        <f t="shared" ca="1" si="30"/>
        <v>Đã xong cột</v>
      </c>
      <c r="AE70" s="39"/>
      <c r="AF70" s="37"/>
      <c r="AI70" s="43" t="str">
        <f t="shared" ca="1" si="31"/>
        <v>Quá hạn</v>
      </c>
      <c r="AN70" s="49">
        <f t="shared" si="32"/>
        <v>33</v>
      </c>
      <c r="BA70" s="12" t="str">
        <f t="shared" si="33"/>
        <v>chưa PS</v>
      </c>
      <c r="BD70" s="12">
        <f t="shared" ca="1" si="22"/>
        <v>490</v>
      </c>
      <c r="BE70" s="12"/>
      <c r="BF70" s="12">
        <f t="shared" ca="1" si="34"/>
        <v>490</v>
      </c>
      <c r="BG70" s="9" t="str">
        <f t="shared" ca="1" si="23"/>
        <v>Quá hạn</v>
      </c>
      <c r="BH70" s="9"/>
      <c r="BI70" s="9"/>
      <c r="BJ70" s="9"/>
      <c r="BK70" s="9"/>
    </row>
    <row r="71" spans="2:63" x14ac:dyDescent="0.25">
      <c r="B71" s="9" t="str">
        <f t="shared" si="24"/>
        <v>BTN</v>
      </c>
      <c r="C71" s="6" t="s">
        <v>92</v>
      </c>
      <c r="D71" s="9" t="s">
        <v>189</v>
      </c>
      <c r="F71" s="37" t="s">
        <v>17</v>
      </c>
      <c r="G71" s="37" t="s">
        <v>1</v>
      </c>
      <c r="H71" s="37" t="s">
        <v>2</v>
      </c>
      <c r="I71" s="37" t="s">
        <v>123</v>
      </c>
      <c r="J71" s="9">
        <v>75</v>
      </c>
      <c r="K71" s="37" t="s">
        <v>13</v>
      </c>
      <c r="L71" s="39">
        <f t="shared" si="21"/>
        <v>45</v>
      </c>
      <c r="M71" s="39">
        <f t="shared" si="25"/>
        <v>12</v>
      </c>
      <c r="N71" s="39">
        <f t="shared" si="26"/>
        <v>23</v>
      </c>
      <c r="O71" s="39">
        <f t="shared" si="27"/>
        <v>30</v>
      </c>
      <c r="P71" s="37" t="s">
        <v>118</v>
      </c>
      <c r="Q71" s="10">
        <v>43010</v>
      </c>
      <c r="R71" s="10">
        <v>42987</v>
      </c>
      <c r="S71" s="12"/>
      <c r="T71" s="43" t="str">
        <f>IFERROR(VLOOKUP(U71,#REF!,2,0),"")</f>
        <v/>
      </c>
      <c r="U71" s="41" t="s">
        <v>9</v>
      </c>
      <c r="V71" s="43" t="str">
        <f t="shared" ca="1" si="28"/>
        <v>Đã khởi công</v>
      </c>
      <c r="W71" s="10">
        <v>43010</v>
      </c>
      <c r="Y71" s="43" t="str">
        <f t="shared" ca="1" si="29"/>
        <v>Quá hạn</v>
      </c>
      <c r="Z71" s="39" t="str">
        <f>IFERROR(VLOOKUP(AA71,#REF!,2,0),"")</f>
        <v/>
      </c>
      <c r="AA71" s="37" t="s">
        <v>9</v>
      </c>
      <c r="AB71" s="14"/>
      <c r="AD71" s="43" t="str">
        <f t="shared" ca="1" si="30"/>
        <v>Quá hạn</v>
      </c>
      <c r="AE71" s="39"/>
      <c r="AF71" s="37"/>
      <c r="AI71" s="43" t="str">
        <f t="shared" ca="1" si="31"/>
        <v>Quá hạn</v>
      </c>
      <c r="AN71" s="49">
        <f t="shared" si="32"/>
        <v>33</v>
      </c>
      <c r="BA71" s="12" t="str">
        <f t="shared" si="33"/>
        <v>chưa PS</v>
      </c>
      <c r="BD71" s="12">
        <f t="shared" ca="1" si="22"/>
        <v>140</v>
      </c>
      <c r="BE71" s="12"/>
      <c r="BF71" s="12">
        <f t="shared" ca="1" si="34"/>
        <v>140</v>
      </c>
      <c r="BG71" s="9" t="str">
        <f t="shared" ca="1" si="23"/>
        <v>Quá hạn</v>
      </c>
      <c r="BH71" s="9"/>
      <c r="BI71" s="9"/>
      <c r="BJ71" s="9"/>
      <c r="BK71" s="9"/>
    </row>
    <row r="72" spans="2:63" x14ac:dyDescent="0.25">
      <c r="B72" s="9" t="str">
        <f t="shared" si="24"/>
        <v>BTN</v>
      </c>
      <c r="C72" s="5" t="s">
        <v>93</v>
      </c>
      <c r="D72" s="9" t="s">
        <v>190</v>
      </c>
      <c r="F72" s="37" t="s">
        <v>17</v>
      </c>
      <c r="G72" s="37" t="s">
        <v>1</v>
      </c>
      <c r="H72" s="37" t="s">
        <v>2</v>
      </c>
      <c r="I72" s="37" t="s">
        <v>123</v>
      </c>
      <c r="J72" s="9">
        <v>75</v>
      </c>
      <c r="K72" s="37" t="s">
        <v>13</v>
      </c>
      <c r="L72" s="39">
        <f t="shared" si="21"/>
        <v>45</v>
      </c>
      <c r="M72" s="39">
        <f t="shared" si="25"/>
        <v>12</v>
      </c>
      <c r="N72" s="39">
        <f t="shared" si="26"/>
        <v>23</v>
      </c>
      <c r="O72" s="39">
        <f t="shared" si="27"/>
        <v>30</v>
      </c>
      <c r="P72" s="37" t="s">
        <v>118</v>
      </c>
      <c r="Q72" s="10">
        <v>42968</v>
      </c>
      <c r="R72" s="10">
        <v>42987</v>
      </c>
      <c r="S72" s="12"/>
      <c r="T72" s="43" t="str">
        <f>IFERROR(VLOOKUP(U72,#REF!,2,0),"")</f>
        <v/>
      </c>
      <c r="U72" s="41" t="s">
        <v>9</v>
      </c>
      <c r="V72" s="43" t="str">
        <f t="shared" ca="1" si="28"/>
        <v>Đã khởi công</v>
      </c>
      <c r="W72" s="10">
        <v>43010</v>
      </c>
      <c r="Y72" s="43" t="str">
        <f t="shared" ca="1" si="29"/>
        <v>Quá hạn</v>
      </c>
      <c r="Z72" s="39" t="str">
        <f>IFERROR(VLOOKUP(AA72,#REF!,2,0),"")</f>
        <v/>
      </c>
      <c r="AA72" s="37" t="s">
        <v>9</v>
      </c>
      <c r="AB72" s="14"/>
      <c r="AD72" s="43" t="str">
        <f t="shared" ca="1" si="30"/>
        <v>Quá hạn</v>
      </c>
      <c r="AE72" s="39"/>
      <c r="AF72" s="37"/>
      <c r="AI72" s="43" t="str">
        <f t="shared" ca="1" si="31"/>
        <v>Quá hạn</v>
      </c>
      <c r="AN72" s="49">
        <f t="shared" si="32"/>
        <v>33</v>
      </c>
      <c r="BA72" s="12" t="str">
        <f t="shared" si="33"/>
        <v>chưa PS</v>
      </c>
      <c r="BD72" s="12">
        <f t="shared" ca="1" si="22"/>
        <v>140</v>
      </c>
      <c r="BE72" s="12"/>
      <c r="BF72" s="12">
        <f t="shared" ca="1" si="34"/>
        <v>140</v>
      </c>
      <c r="BG72" s="9" t="str">
        <f t="shared" ca="1" si="23"/>
        <v>Quá hạn</v>
      </c>
      <c r="BH72" s="9"/>
      <c r="BI72" s="9"/>
      <c r="BJ72" s="9"/>
      <c r="BK72" s="9"/>
    </row>
    <row r="73" spans="2:63" x14ac:dyDescent="0.25">
      <c r="B73" s="9" t="str">
        <f t="shared" si="24"/>
        <v>BTN</v>
      </c>
      <c r="C73" s="3" t="s">
        <v>94</v>
      </c>
      <c r="D73" s="9" t="s">
        <v>191</v>
      </c>
      <c r="F73" s="37" t="s">
        <v>17</v>
      </c>
      <c r="G73" s="37" t="s">
        <v>1</v>
      </c>
      <c r="H73" s="37" t="s">
        <v>2</v>
      </c>
      <c r="I73" s="37">
        <v>600</v>
      </c>
      <c r="J73" s="9">
        <v>60</v>
      </c>
      <c r="K73" s="37" t="s">
        <v>13</v>
      </c>
      <c r="L73" s="39">
        <f t="shared" si="21"/>
        <v>45</v>
      </c>
      <c r="M73" s="39">
        <f t="shared" si="25"/>
        <v>12</v>
      </c>
      <c r="N73" s="39">
        <f t="shared" si="26"/>
        <v>23</v>
      </c>
      <c r="O73" s="39">
        <f t="shared" si="27"/>
        <v>30</v>
      </c>
      <c r="P73" s="37" t="s">
        <v>118</v>
      </c>
      <c r="Q73" s="10">
        <v>42990</v>
      </c>
      <c r="S73" s="12"/>
      <c r="T73" s="43" t="str">
        <f>IFERROR(VLOOKUP(U73,#REF!,2,0),"")</f>
        <v/>
      </c>
      <c r="V73" s="43" t="str">
        <f t="shared" ca="1" si="28"/>
        <v>Đã khởi công</v>
      </c>
      <c r="W73" s="10">
        <v>43012</v>
      </c>
      <c r="X73" s="14">
        <v>43041</v>
      </c>
      <c r="Y73" s="43" t="str">
        <f t="shared" ca="1" si="29"/>
        <v>Đã xong móng</v>
      </c>
      <c r="Z73" s="39" t="str">
        <f>IFERROR(VLOOKUP(AA73,#REF!,2,0),"")</f>
        <v/>
      </c>
      <c r="AA73" s="37"/>
      <c r="AB73" s="14"/>
      <c r="AD73" s="43" t="str">
        <f t="shared" ca="1" si="30"/>
        <v>Quá hạn</v>
      </c>
      <c r="AE73" s="39"/>
      <c r="AF73" s="37"/>
      <c r="AI73" s="43" t="str">
        <f t="shared" ca="1" si="31"/>
        <v>Quá hạn</v>
      </c>
      <c r="AN73" s="49">
        <f t="shared" si="32"/>
        <v>33</v>
      </c>
      <c r="BA73" s="12" t="str">
        <f t="shared" si="33"/>
        <v>chưa PS</v>
      </c>
      <c r="BD73" s="12">
        <f t="shared" ca="1" si="22"/>
        <v>138</v>
      </c>
      <c r="BE73" s="12"/>
      <c r="BF73" s="12">
        <f t="shared" ca="1" si="34"/>
        <v>138</v>
      </c>
      <c r="BG73" s="9" t="str">
        <f t="shared" ca="1" si="23"/>
        <v>Quá hạn</v>
      </c>
      <c r="BH73" s="9"/>
      <c r="BI73" s="9"/>
      <c r="BJ73" s="9"/>
      <c r="BK73" s="9"/>
    </row>
    <row r="74" spans="2:63" x14ac:dyDescent="0.25">
      <c r="B74" s="9" t="str">
        <f t="shared" si="24"/>
        <v>BTN</v>
      </c>
      <c r="C74" s="3" t="s">
        <v>95</v>
      </c>
      <c r="D74" s="9">
        <v>0</v>
      </c>
      <c r="F74" s="37" t="s">
        <v>15</v>
      </c>
      <c r="G74" s="37" t="s">
        <v>1</v>
      </c>
      <c r="H74" s="37" t="s">
        <v>2</v>
      </c>
      <c r="I74" s="37">
        <v>600</v>
      </c>
      <c r="J74" s="9">
        <v>42</v>
      </c>
      <c r="K74" s="37" t="s">
        <v>13</v>
      </c>
      <c r="L74" s="39">
        <f t="shared" si="21"/>
        <v>45</v>
      </c>
      <c r="M74" s="39">
        <f t="shared" si="25"/>
        <v>10</v>
      </c>
      <c r="N74" s="39">
        <f t="shared" si="26"/>
        <v>20</v>
      </c>
      <c r="O74" s="39">
        <f t="shared" si="27"/>
        <v>30</v>
      </c>
      <c r="P74" s="37" t="s">
        <v>118</v>
      </c>
      <c r="S74" s="12"/>
      <c r="T74" s="43" t="str">
        <f>IFERROR(VLOOKUP(U74,#REF!,2,0),"")</f>
        <v/>
      </c>
      <c r="V74" s="43" t="str">
        <f t="shared" ca="1" si="28"/>
        <v/>
      </c>
      <c r="Y74" s="43" t="str">
        <f t="shared" ca="1" si="29"/>
        <v/>
      </c>
      <c r="Z74" s="39" t="str">
        <f>IFERROR(VLOOKUP(AA74,#REF!,2,0),"")</f>
        <v/>
      </c>
      <c r="AA74" s="37"/>
      <c r="AB74" s="14"/>
      <c r="AD74" s="43" t="str">
        <f t="shared" ca="1" si="30"/>
        <v>Quá hạn</v>
      </c>
      <c r="AE74" s="39"/>
      <c r="AF74" s="37"/>
      <c r="AI74" s="43" t="str">
        <f t="shared" ca="1" si="31"/>
        <v>Quá hạn</v>
      </c>
      <c r="AN74" s="49">
        <f t="shared" si="32"/>
        <v>33</v>
      </c>
      <c r="BA74" s="12" t="str">
        <f t="shared" si="33"/>
        <v>chưa PS</v>
      </c>
      <c r="BD74" s="12">
        <f t="shared" ca="1" si="22"/>
        <v>43150</v>
      </c>
      <c r="BE74" s="12"/>
      <c r="BF74" s="12">
        <f t="shared" ca="1" si="34"/>
        <v>43150</v>
      </c>
      <c r="BG74" s="9" t="str">
        <f t="shared" ca="1" si="23"/>
        <v>Quá hạn</v>
      </c>
      <c r="BH74" s="9"/>
      <c r="BI74" s="9"/>
      <c r="BJ74" s="9"/>
      <c r="BK74" s="9"/>
    </row>
    <row r="75" spans="2:63" x14ac:dyDescent="0.25">
      <c r="B75" s="9" t="str">
        <f t="shared" si="24"/>
        <v>BTN</v>
      </c>
      <c r="C75" s="3" t="s">
        <v>96</v>
      </c>
      <c r="D75" s="9" t="s">
        <v>192</v>
      </c>
      <c r="F75" s="37" t="s">
        <v>15</v>
      </c>
      <c r="G75" s="37" t="s">
        <v>1</v>
      </c>
      <c r="H75" s="37" t="s">
        <v>2</v>
      </c>
      <c r="I75" s="37">
        <v>600</v>
      </c>
      <c r="J75" s="9">
        <v>36</v>
      </c>
      <c r="K75" s="37" t="s">
        <v>13</v>
      </c>
      <c r="L75" s="39">
        <f t="shared" si="21"/>
        <v>45</v>
      </c>
      <c r="M75" s="39">
        <f t="shared" si="25"/>
        <v>10</v>
      </c>
      <c r="N75" s="39">
        <f t="shared" si="26"/>
        <v>20</v>
      </c>
      <c r="O75" s="39">
        <f t="shared" si="27"/>
        <v>30</v>
      </c>
      <c r="P75" s="37" t="s">
        <v>118</v>
      </c>
      <c r="Q75" s="10">
        <v>43073</v>
      </c>
      <c r="R75" s="10">
        <v>43073</v>
      </c>
      <c r="S75" s="12"/>
      <c r="T75" s="43" t="str">
        <f>IFERROR(VLOOKUP(U75,#REF!,2,0),"")</f>
        <v/>
      </c>
      <c r="V75" s="43" t="str">
        <f t="shared" ca="1" si="28"/>
        <v>Đã khởi công</v>
      </c>
      <c r="W75" s="10">
        <v>43073</v>
      </c>
      <c r="Y75" s="43" t="str">
        <f t="shared" ca="1" si="29"/>
        <v>Quá hạn</v>
      </c>
      <c r="Z75" s="39" t="str">
        <f>IFERROR(VLOOKUP(AA75,#REF!,2,0),"")</f>
        <v/>
      </c>
      <c r="AA75" s="37"/>
      <c r="AB75" s="14"/>
      <c r="AD75" s="43" t="str">
        <f t="shared" ca="1" si="30"/>
        <v>Quá hạn</v>
      </c>
      <c r="AE75" s="39"/>
      <c r="AF75" s="37"/>
      <c r="AI75" s="43" t="str">
        <f t="shared" ca="1" si="31"/>
        <v>Quá hạn</v>
      </c>
      <c r="AN75" s="49">
        <f t="shared" si="32"/>
        <v>33</v>
      </c>
      <c r="BA75" s="12" t="str">
        <f t="shared" si="33"/>
        <v>chưa PS</v>
      </c>
      <c r="BD75" s="12">
        <f t="shared" ca="1" si="22"/>
        <v>77</v>
      </c>
      <c r="BE75" s="12"/>
      <c r="BF75" s="12">
        <f t="shared" ca="1" si="34"/>
        <v>77</v>
      </c>
      <c r="BG75" s="9" t="str">
        <f t="shared" ca="1" si="23"/>
        <v>Quá hạn</v>
      </c>
      <c r="BH75" s="9"/>
      <c r="BI75" s="9"/>
      <c r="BJ75" s="9"/>
      <c r="BK75" s="9"/>
    </row>
    <row r="76" spans="2:63" x14ac:dyDescent="0.25">
      <c r="B76" s="9" t="str">
        <f t="shared" si="24"/>
        <v>BTN</v>
      </c>
      <c r="C76" s="15" t="s">
        <v>97</v>
      </c>
      <c r="D76" s="9" t="s">
        <v>193</v>
      </c>
      <c r="F76" s="37" t="s">
        <v>15</v>
      </c>
      <c r="G76" s="37" t="s">
        <v>1</v>
      </c>
      <c r="H76" s="37" t="s">
        <v>2</v>
      </c>
      <c r="I76" s="37">
        <v>600</v>
      </c>
      <c r="J76" s="9">
        <v>42</v>
      </c>
      <c r="K76" s="37" t="s">
        <v>13</v>
      </c>
      <c r="L76" s="39">
        <f t="shared" si="21"/>
        <v>45</v>
      </c>
      <c r="M76" s="39">
        <f t="shared" si="25"/>
        <v>10</v>
      </c>
      <c r="N76" s="39">
        <f t="shared" si="26"/>
        <v>20</v>
      </c>
      <c r="O76" s="39">
        <f t="shared" si="27"/>
        <v>30</v>
      </c>
      <c r="P76" s="37" t="s">
        <v>118</v>
      </c>
      <c r="Q76" s="10">
        <v>43073</v>
      </c>
      <c r="R76" s="10">
        <v>43073</v>
      </c>
      <c r="S76" s="12"/>
      <c r="T76" s="43" t="str">
        <f>IFERROR(VLOOKUP(U76,#REF!,2,0),"")</f>
        <v/>
      </c>
      <c r="V76" s="43" t="str">
        <f t="shared" ca="1" si="28"/>
        <v>Đã khởi công</v>
      </c>
      <c r="W76" s="10">
        <v>43073</v>
      </c>
      <c r="Y76" s="43" t="str">
        <f t="shared" ca="1" si="29"/>
        <v>Quá hạn</v>
      </c>
      <c r="Z76" s="39" t="str">
        <f>IFERROR(VLOOKUP(AA76,#REF!,2,0),"")</f>
        <v/>
      </c>
      <c r="AA76" s="37"/>
      <c r="AB76" s="14"/>
      <c r="AD76" s="43" t="str">
        <f t="shared" ca="1" si="30"/>
        <v>Quá hạn</v>
      </c>
      <c r="AE76" s="39"/>
      <c r="AF76" s="37"/>
      <c r="AI76" s="43" t="str">
        <f t="shared" ca="1" si="31"/>
        <v>Quá hạn</v>
      </c>
      <c r="AN76" s="49">
        <f t="shared" si="32"/>
        <v>33</v>
      </c>
      <c r="BA76" s="12" t="str">
        <f t="shared" si="33"/>
        <v>chưa PS</v>
      </c>
      <c r="BD76" s="12">
        <f t="shared" ca="1" si="22"/>
        <v>77</v>
      </c>
      <c r="BE76" s="12"/>
      <c r="BF76" s="12">
        <f t="shared" ca="1" si="34"/>
        <v>77</v>
      </c>
      <c r="BG76" s="9" t="str">
        <f t="shared" ca="1" si="23"/>
        <v>Quá hạn</v>
      </c>
      <c r="BH76" s="9"/>
      <c r="BI76" s="9"/>
      <c r="BJ76" s="9"/>
      <c r="BK76" s="9"/>
    </row>
    <row r="77" spans="2:63" x14ac:dyDescent="0.25">
      <c r="B77" s="9" t="str">
        <f t="shared" si="24"/>
        <v>DCN</v>
      </c>
      <c r="C77" s="3" t="s">
        <v>98</v>
      </c>
      <c r="D77" s="9" t="s">
        <v>194</v>
      </c>
      <c r="F77" s="37" t="s">
        <v>15</v>
      </c>
      <c r="G77" s="37" t="s">
        <v>1</v>
      </c>
      <c r="H77" s="37" t="s">
        <v>2</v>
      </c>
      <c r="I77" s="37">
        <v>600</v>
      </c>
      <c r="J77" s="9">
        <v>42</v>
      </c>
      <c r="K77" s="37" t="s">
        <v>12</v>
      </c>
      <c r="L77" s="39">
        <f t="shared" si="21"/>
        <v>45</v>
      </c>
      <c r="M77" s="39">
        <f t="shared" si="25"/>
        <v>10</v>
      </c>
      <c r="N77" s="39">
        <f t="shared" si="26"/>
        <v>20</v>
      </c>
      <c r="O77" s="39">
        <f t="shared" si="27"/>
        <v>1</v>
      </c>
      <c r="P77" s="37" t="s">
        <v>118</v>
      </c>
      <c r="Q77" s="10">
        <v>43053</v>
      </c>
      <c r="S77" s="12"/>
      <c r="T77" s="43" t="str">
        <f>IFERROR(VLOOKUP(U77,#REF!,2,0),"")</f>
        <v/>
      </c>
      <c r="V77" s="43" t="str">
        <f t="shared" ca="1" si="28"/>
        <v>Đã khởi công</v>
      </c>
      <c r="W77" s="10">
        <v>43020</v>
      </c>
      <c r="X77" s="14">
        <v>43040</v>
      </c>
      <c r="Y77" s="43" t="str">
        <f t="shared" ca="1" si="29"/>
        <v>Đã xong móng</v>
      </c>
      <c r="Z77" s="39" t="str">
        <f>IFERROR(VLOOKUP(AA77,#REF!,2,0),"")</f>
        <v/>
      </c>
      <c r="AA77" s="37"/>
      <c r="AB77" s="14">
        <v>43057</v>
      </c>
      <c r="AD77" s="43" t="str">
        <f t="shared" ca="1" si="30"/>
        <v>Quá hạn</v>
      </c>
      <c r="AE77" s="39"/>
      <c r="AF77" s="37"/>
      <c r="AI77" s="43" t="str">
        <f t="shared" ca="1" si="31"/>
        <v>Quá hạn</v>
      </c>
      <c r="AN77" s="49">
        <f t="shared" si="32"/>
        <v>4</v>
      </c>
      <c r="BA77" s="12" t="str">
        <f t="shared" si="33"/>
        <v>chưa PS</v>
      </c>
      <c r="BD77" s="12">
        <f t="shared" ca="1" si="22"/>
        <v>130</v>
      </c>
      <c r="BE77" s="12"/>
      <c r="BF77" s="12">
        <f t="shared" ca="1" si="34"/>
        <v>130</v>
      </c>
      <c r="BG77" s="9" t="str">
        <f t="shared" ca="1" si="23"/>
        <v>Quá hạn</v>
      </c>
      <c r="BH77" s="9"/>
      <c r="BI77" s="9"/>
      <c r="BJ77" s="9"/>
      <c r="BK77" s="9"/>
    </row>
    <row r="78" spans="2:63" x14ac:dyDescent="0.25">
      <c r="B78" s="9" t="str">
        <f t="shared" si="24"/>
        <v>DLK</v>
      </c>
      <c r="C78" s="3" t="s">
        <v>99</v>
      </c>
      <c r="D78" s="9" t="s">
        <v>195</v>
      </c>
      <c r="F78" s="37" t="s">
        <v>17</v>
      </c>
      <c r="G78" s="37" t="s">
        <v>1</v>
      </c>
      <c r="H78" s="37" t="s">
        <v>2</v>
      </c>
      <c r="I78" s="37">
        <v>600</v>
      </c>
      <c r="J78" s="9">
        <v>48</v>
      </c>
      <c r="K78" s="37" t="s">
        <v>11</v>
      </c>
      <c r="L78" s="39">
        <f t="shared" si="21"/>
        <v>45</v>
      </c>
      <c r="M78" s="39">
        <f t="shared" si="25"/>
        <v>10</v>
      </c>
      <c r="N78" s="39">
        <f t="shared" si="26"/>
        <v>20</v>
      </c>
      <c r="O78" s="39">
        <f t="shared" si="27"/>
        <v>30</v>
      </c>
      <c r="P78" s="37" t="s">
        <v>118</v>
      </c>
      <c r="Q78" s="10">
        <v>42807</v>
      </c>
      <c r="S78" s="12"/>
      <c r="T78" s="43" t="str">
        <f>IFERROR(VLOOKUP(U78,#REF!,2,0),"")</f>
        <v/>
      </c>
      <c r="V78" s="43" t="str">
        <f t="shared" ca="1" si="28"/>
        <v>Đã khởi công</v>
      </c>
      <c r="W78" s="10">
        <v>42989</v>
      </c>
      <c r="X78" s="14">
        <v>43027</v>
      </c>
      <c r="Y78" s="43" t="str">
        <f t="shared" ca="1" si="29"/>
        <v>Đã xong móng</v>
      </c>
      <c r="Z78" s="39" t="str">
        <f>IFERROR(VLOOKUP(AA78,#REF!,2,0),"")</f>
        <v/>
      </c>
      <c r="AA78" s="37"/>
      <c r="AB78" s="14">
        <v>43027</v>
      </c>
      <c r="AD78" s="43" t="str">
        <f t="shared" ca="1" si="30"/>
        <v>Quá hạn</v>
      </c>
      <c r="AE78" s="39"/>
      <c r="AF78" s="37"/>
      <c r="AI78" s="43" t="str">
        <f t="shared" ca="1" si="31"/>
        <v>Quá hạn</v>
      </c>
      <c r="AN78" s="49">
        <f t="shared" si="32"/>
        <v>33</v>
      </c>
      <c r="BA78" s="12" t="str">
        <f t="shared" si="33"/>
        <v>chưa PS</v>
      </c>
      <c r="BD78" s="12">
        <f t="shared" ca="1" si="22"/>
        <v>161</v>
      </c>
      <c r="BE78" s="12"/>
      <c r="BF78" s="12">
        <f t="shared" ca="1" si="34"/>
        <v>161</v>
      </c>
      <c r="BG78" s="9" t="str">
        <f t="shared" ca="1" si="23"/>
        <v>Quá hạn</v>
      </c>
      <c r="BH78" s="9"/>
      <c r="BI78" s="9"/>
      <c r="BJ78" s="9"/>
      <c r="BK78" s="9"/>
    </row>
    <row r="79" spans="2:63" x14ac:dyDescent="0.25">
      <c r="B79" s="9" t="str">
        <f t="shared" si="24"/>
        <v>DLK</v>
      </c>
      <c r="C79" s="3" t="s">
        <v>100</v>
      </c>
      <c r="D79" s="9" t="s">
        <v>196</v>
      </c>
      <c r="F79" s="37" t="s">
        <v>17</v>
      </c>
      <c r="G79" s="37" t="s">
        <v>1</v>
      </c>
      <c r="H79" s="37" t="s">
        <v>2</v>
      </c>
      <c r="I79" s="37">
        <v>600</v>
      </c>
      <c r="J79" s="9">
        <v>60</v>
      </c>
      <c r="K79" s="37" t="s">
        <v>11</v>
      </c>
      <c r="L79" s="39">
        <f t="shared" si="21"/>
        <v>45</v>
      </c>
      <c r="M79" s="39">
        <f t="shared" si="25"/>
        <v>12</v>
      </c>
      <c r="N79" s="39">
        <f t="shared" si="26"/>
        <v>23</v>
      </c>
      <c r="O79" s="39">
        <f t="shared" si="27"/>
        <v>30</v>
      </c>
      <c r="P79" s="37" t="s">
        <v>118</v>
      </c>
      <c r="Q79" s="10">
        <v>42789</v>
      </c>
      <c r="S79" s="12"/>
      <c r="T79" s="43" t="str">
        <f>IFERROR(VLOOKUP(U79,#REF!,2,0),"")</f>
        <v/>
      </c>
      <c r="V79" s="43" t="str">
        <f t="shared" ca="1" si="28"/>
        <v>Đã khởi công</v>
      </c>
      <c r="W79" s="10">
        <v>42789</v>
      </c>
      <c r="X79" s="14">
        <v>42795</v>
      </c>
      <c r="Y79" s="43" t="str">
        <f t="shared" ca="1" si="29"/>
        <v>Đã xong móng</v>
      </c>
      <c r="Z79" s="39" t="str">
        <f>IFERROR(VLOOKUP(AA79,#REF!,2,0),"")</f>
        <v/>
      </c>
      <c r="AA79" s="37"/>
      <c r="AB79" s="14">
        <v>42804</v>
      </c>
      <c r="AC79" s="14">
        <v>42940</v>
      </c>
      <c r="AD79" s="43" t="str">
        <f t="shared" ca="1" si="30"/>
        <v>Đã xong cột</v>
      </c>
      <c r="AE79" s="39"/>
      <c r="AF79" s="37"/>
      <c r="AI79" s="43" t="str">
        <f t="shared" ca="1" si="31"/>
        <v>Quá hạn</v>
      </c>
      <c r="AN79" s="49">
        <f t="shared" si="32"/>
        <v>33</v>
      </c>
      <c r="BA79" s="12" t="str">
        <f t="shared" si="33"/>
        <v>chưa PS</v>
      </c>
      <c r="BD79" s="12">
        <f t="shared" ca="1" si="22"/>
        <v>361</v>
      </c>
      <c r="BE79" s="12"/>
      <c r="BF79" s="12">
        <f t="shared" ca="1" si="34"/>
        <v>361</v>
      </c>
      <c r="BG79" s="9" t="str">
        <f t="shared" ca="1" si="23"/>
        <v>Quá hạn</v>
      </c>
      <c r="BH79" s="9"/>
      <c r="BI79" s="9"/>
      <c r="BJ79" s="9"/>
      <c r="BK79" s="9"/>
    </row>
    <row r="80" spans="2:63" x14ac:dyDescent="0.25">
      <c r="B80" s="9" t="str">
        <f t="shared" si="24"/>
        <v>DLK</v>
      </c>
      <c r="C80" s="3" t="s">
        <v>101</v>
      </c>
      <c r="D80" s="9" t="s">
        <v>197</v>
      </c>
      <c r="F80" s="37" t="s">
        <v>17</v>
      </c>
      <c r="G80" s="37" t="s">
        <v>1</v>
      </c>
      <c r="H80" s="37" t="s">
        <v>2</v>
      </c>
      <c r="I80" s="37">
        <v>600</v>
      </c>
      <c r="J80" s="9">
        <v>42</v>
      </c>
      <c r="K80" s="37" t="s">
        <v>11</v>
      </c>
      <c r="L80" s="39">
        <f t="shared" si="21"/>
        <v>45</v>
      </c>
      <c r="M80" s="39">
        <f t="shared" si="25"/>
        <v>10</v>
      </c>
      <c r="N80" s="39">
        <f t="shared" si="26"/>
        <v>20</v>
      </c>
      <c r="O80" s="39">
        <f t="shared" si="27"/>
        <v>30</v>
      </c>
      <c r="P80" s="37" t="s">
        <v>118</v>
      </c>
      <c r="Q80" s="10">
        <v>43064</v>
      </c>
      <c r="R80" s="10">
        <v>43064</v>
      </c>
      <c r="S80" s="12"/>
      <c r="T80" s="43" t="str">
        <f>IFERROR(VLOOKUP(U80,#REF!,2,0),"")</f>
        <v/>
      </c>
      <c r="V80" s="43" t="str">
        <f t="shared" ca="1" si="28"/>
        <v>Đã khởi công</v>
      </c>
      <c r="W80" s="10">
        <v>43067</v>
      </c>
      <c r="Y80" s="43" t="str">
        <f t="shared" ca="1" si="29"/>
        <v>Quá hạn</v>
      </c>
      <c r="Z80" s="39" t="str">
        <f>IFERROR(VLOOKUP(AA80,#REF!,2,0),"")</f>
        <v/>
      </c>
      <c r="AA80" s="37"/>
      <c r="AB80" s="14"/>
      <c r="AD80" s="43" t="str">
        <f t="shared" ca="1" si="30"/>
        <v>Quá hạn</v>
      </c>
      <c r="AE80" s="39"/>
      <c r="AF80" s="37"/>
      <c r="AI80" s="43" t="str">
        <f t="shared" ca="1" si="31"/>
        <v>Quá hạn</v>
      </c>
      <c r="AN80" s="49">
        <f t="shared" si="32"/>
        <v>33</v>
      </c>
      <c r="BA80" s="12" t="str">
        <f t="shared" si="33"/>
        <v>chưa PS</v>
      </c>
      <c r="BD80" s="12">
        <f t="shared" ca="1" si="22"/>
        <v>83</v>
      </c>
      <c r="BE80" s="12"/>
      <c r="BF80" s="12">
        <f t="shared" ca="1" si="34"/>
        <v>83</v>
      </c>
      <c r="BG80" s="9" t="str">
        <f t="shared" ca="1" si="23"/>
        <v>Quá hạn</v>
      </c>
      <c r="BH80" s="9"/>
      <c r="BI80" s="9"/>
      <c r="BJ80" s="9"/>
      <c r="BK80" s="9"/>
    </row>
    <row r="81" spans="2:63" x14ac:dyDescent="0.25">
      <c r="B81" s="9" t="str">
        <f t="shared" si="24"/>
        <v>DLK</v>
      </c>
      <c r="C81" s="3" t="s">
        <v>102</v>
      </c>
      <c r="D81" s="9" t="s">
        <v>198</v>
      </c>
      <c r="F81" s="37" t="s">
        <v>15</v>
      </c>
      <c r="G81" s="37" t="s">
        <v>1</v>
      </c>
      <c r="H81" s="37" t="s">
        <v>2</v>
      </c>
      <c r="I81" s="37">
        <v>600</v>
      </c>
      <c r="J81" s="9">
        <v>36</v>
      </c>
      <c r="K81" s="37" t="s">
        <v>11</v>
      </c>
      <c r="L81" s="39">
        <f t="shared" si="21"/>
        <v>45</v>
      </c>
      <c r="M81" s="39">
        <f t="shared" si="25"/>
        <v>10</v>
      </c>
      <c r="N81" s="39">
        <f t="shared" si="26"/>
        <v>20</v>
      </c>
      <c r="O81" s="39">
        <f t="shared" si="27"/>
        <v>30</v>
      </c>
      <c r="P81" s="37" t="s">
        <v>118</v>
      </c>
      <c r="Q81" s="10">
        <v>42996</v>
      </c>
      <c r="R81" s="10">
        <v>43064</v>
      </c>
      <c r="S81" s="12"/>
      <c r="T81" s="43" t="str">
        <f>IFERROR(VLOOKUP(U81,#REF!,2,0),"")</f>
        <v/>
      </c>
      <c r="U81" s="41" t="s">
        <v>8</v>
      </c>
      <c r="V81" s="43" t="str">
        <f t="shared" ca="1" si="28"/>
        <v>Quá hạn</v>
      </c>
      <c r="Y81" s="43" t="str">
        <f t="shared" ca="1" si="29"/>
        <v/>
      </c>
      <c r="Z81" s="39" t="str">
        <f>IFERROR(VLOOKUP(AA81,#REF!,2,0),"")</f>
        <v/>
      </c>
      <c r="AA81" s="37"/>
      <c r="AB81" s="14"/>
      <c r="AD81" s="43" t="str">
        <f t="shared" ca="1" si="30"/>
        <v>Quá hạn</v>
      </c>
      <c r="AE81" s="39"/>
      <c r="AF81" s="37"/>
      <c r="AI81" s="43" t="str">
        <f t="shared" ca="1" si="31"/>
        <v>Quá hạn</v>
      </c>
      <c r="AN81" s="49">
        <f t="shared" si="32"/>
        <v>33</v>
      </c>
      <c r="BA81" s="12" t="str">
        <f t="shared" si="33"/>
        <v>chưa PS</v>
      </c>
      <c r="BD81" s="12">
        <f t="shared" ca="1" si="22"/>
        <v>43150</v>
      </c>
      <c r="BE81" s="12"/>
      <c r="BF81" s="12">
        <f t="shared" ca="1" si="34"/>
        <v>43150</v>
      </c>
      <c r="BG81" s="9" t="str">
        <f t="shared" ca="1" si="23"/>
        <v>Quá hạn</v>
      </c>
      <c r="BH81" s="9"/>
      <c r="BI81" s="9"/>
      <c r="BJ81" s="9"/>
      <c r="BK81" s="9"/>
    </row>
    <row r="82" spans="2:63" x14ac:dyDescent="0.25">
      <c r="B82" s="9" t="str">
        <f t="shared" si="24"/>
        <v>DNG</v>
      </c>
      <c r="C82" s="3" t="s">
        <v>103</v>
      </c>
      <c r="D82" s="9" t="s">
        <v>199</v>
      </c>
      <c r="F82" s="37" t="s">
        <v>17</v>
      </c>
      <c r="G82" s="37" t="s">
        <v>0</v>
      </c>
      <c r="H82" s="37" t="s">
        <v>2</v>
      </c>
      <c r="I82" s="37" t="s">
        <v>10</v>
      </c>
      <c r="J82" s="9">
        <v>3</v>
      </c>
      <c r="K82" s="37" t="s">
        <v>13</v>
      </c>
      <c r="L82" s="39">
        <f t="shared" si="21"/>
        <v>30</v>
      </c>
      <c r="M82" s="39">
        <f t="shared" si="25"/>
        <v>5</v>
      </c>
      <c r="N82" s="39">
        <f t="shared" si="26"/>
        <v>10</v>
      </c>
      <c r="O82" s="39">
        <f t="shared" si="27"/>
        <v>25</v>
      </c>
      <c r="P82" s="37" t="s">
        <v>118</v>
      </c>
      <c r="Q82" s="10">
        <v>43048</v>
      </c>
      <c r="S82" s="12"/>
      <c r="T82" s="43" t="str">
        <f>IFERROR(VLOOKUP(U82,#REF!,2,0),"")</f>
        <v/>
      </c>
      <c r="U82" s="41" t="s">
        <v>4</v>
      </c>
      <c r="V82" s="43" t="str">
        <f t="shared" ca="1" si="28"/>
        <v>Quá hạn</v>
      </c>
      <c r="Y82" s="43" t="str">
        <f t="shared" ca="1" si="29"/>
        <v/>
      </c>
      <c r="Z82" s="39" t="str">
        <f>IFERROR(VLOOKUP(AA82,#REF!,2,0),"")</f>
        <v/>
      </c>
      <c r="AA82" s="37"/>
      <c r="AB82" s="14"/>
      <c r="AD82" s="43" t="str">
        <f t="shared" ca="1" si="30"/>
        <v>Quá hạn</v>
      </c>
      <c r="AE82" s="39"/>
      <c r="AF82" s="37"/>
      <c r="AI82" s="43" t="str">
        <f t="shared" ca="1" si="31"/>
        <v>Quá hạn</v>
      </c>
      <c r="AN82" s="49">
        <f t="shared" si="32"/>
        <v>28</v>
      </c>
      <c r="BA82" s="12" t="str">
        <f t="shared" si="33"/>
        <v>chưa PS</v>
      </c>
      <c r="BD82" s="12">
        <f t="shared" ca="1" si="22"/>
        <v>43150</v>
      </c>
      <c r="BE82" s="12"/>
      <c r="BF82" s="12">
        <f t="shared" ca="1" si="34"/>
        <v>43150</v>
      </c>
      <c r="BG82" s="9" t="str">
        <f t="shared" ca="1" si="23"/>
        <v>Quá hạn</v>
      </c>
      <c r="BH82" s="9"/>
      <c r="BI82" s="9"/>
      <c r="BJ82" s="9"/>
      <c r="BK82" s="9"/>
    </row>
    <row r="83" spans="2:63" x14ac:dyDescent="0.25">
      <c r="B83" s="9" t="str">
        <f t="shared" si="24"/>
        <v>GLI</v>
      </c>
      <c r="C83" s="1" t="s">
        <v>104</v>
      </c>
      <c r="D83" s="9" t="s">
        <v>200</v>
      </c>
      <c r="F83" s="37" t="s">
        <v>15</v>
      </c>
      <c r="G83" s="37" t="s">
        <v>1</v>
      </c>
      <c r="H83" s="37" t="s">
        <v>2</v>
      </c>
      <c r="I83" s="37">
        <v>600</v>
      </c>
      <c r="J83" s="9">
        <v>60</v>
      </c>
      <c r="K83" s="37" t="s">
        <v>11</v>
      </c>
      <c r="L83" s="39">
        <f t="shared" si="21"/>
        <v>45</v>
      </c>
      <c r="M83" s="39">
        <f t="shared" si="25"/>
        <v>12</v>
      </c>
      <c r="N83" s="39">
        <f t="shared" si="26"/>
        <v>23</v>
      </c>
      <c r="O83" s="39">
        <f t="shared" si="27"/>
        <v>30</v>
      </c>
      <c r="P83" s="37" t="s">
        <v>118</v>
      </c>
      <c r="S83" s="12"/>
      <c r="T83" s="43" t="str">
        <f>IFERROR(VLOOKUP(U83,#REF!,2,0),"")</f>
        <v/>
      </c>
      <c r="V83" s="43" t="str">
        <f t="shared" ca="1" si="28"/>
        <v/>
      </c>
      <c r="Y83" s="43" t="str">
        <f t="shared" ca="1" si="29"/>
        <v/>
      </c>
      <c r="Z83" s="39" t="str">
        <f>IFERROR(VLOOKUP(AA83,#REF!,2,0),"")</f>
        <v/>
      </c>
      <c r="AA83" s="37"/>
      <c r="AB83" s="14"/>
      <c r="AD83" s="43" t="str">
        <f t="shared" ca="1" si="30"/>
        <v>Quá hạn</v>
      </c>
      <c r="AE83" s="39"/>
      <c r="AF83" s="37"/>
      <c r="AI83" s="43" t="str">
        <f t="shared" ca="1" si="31"/>
        <v>Quá hạn</v>
      </c>
      <c r="AN83" s="49">
        <f t="shared" si="32"/>
        <v>33</v>
      </c>
      <c r="BA83" s="12" t="str">
        <f t="shared" si="33"/>
        <v>chưa PS</v>
      </c>
      <c r="BD83" s="12">
        <f t="shared" ca="1" si="22"/>
        <v>43150</v>
      </c>
      <c r="BE83" s="12"/>
      <c r="BF83" s="12">
        <f t="shared" ca="1" si="34"/>
        <v>43150</v>
      </c>
      <c r="BG83" s="9" t="str">
        <f t="shared" ca="1" si="23"/>
        <v>Quá hạn</v>
      </c>
      <c r="BH83" s="9"/>
      <c r="BI83" s="9"/>
      <c r="BJ83" s="9"/>
      <c r="BK83" s="9"/>
    </row>
    <row r="84" spans="2:63" x14ac:dyDescent="0.25">
      <c r="B84" s="9" t="str">
        <f t="shared" si="24"/>
        <v>KHA</v>
      </c>
      <c r="C84" s="1" t="s">
        <v>105</v>
      </c>
      <c r="D84" s="9" t="s">
        <v>201</v>
      </c>
      <c r="F84" s="37" t="s">
        <v>15</v>
      </c>
      <c r="G84" s="37" t="s">
        <v>1</v>
      </c>
      <c r="H84" s="37" t="s">
        <v>2</v>
      </c>
      <c r="I84" s="37">
        <v>600</v>
      </c>
      <c r="J84" s="9">
        <v>42</v>
      </c>
      <c r="K84" s="37" t="s">
        <v>13</v>
      </c>
      <c r="L84" s="39">
        <f t="shared" si="21"/>
        <v>45</v>
      </c>
      <c r="M84" s="39">
        <f t="shared" si="25"/>
        <v>10</v>
      </c>
      <c r="N84" s="39">
        <f t="shared" si="26"/>
        <v>20</v>
      </c>
      <c r="O84" s="39">
        <f t="shared" si="27"/>
        <v>30</v>
      </c>
      <c r="P84" s="37" t="s">
        <v>118</v>
      </c>
      <c r="Q84" s="10">
        <v>42969</v>
      </c>
      <c r="S84" s="12"/>
      <c r="T84" s="43" t="str">
        <f>IFERROR(VLOOKUP(U84,#REF!,2,0),"")</f>
        <v/>
      </c>
      <c r="U84" s="41" t="s">
        <v>8</v>
      </c>
      <c r="V84" s="43" t="str">
        <f t="shared" ca="1" si="28"/>
        <v>Quá hạn</v>
      </c>
      <c r="Y84" s="43" t="str">
        <f t="shared" ca="1" si="29"/>
        <v/>
      </c>
      <c r="Z84" s="39" t="str">
        <f>IFERROR(VLOOKUP(AA84,#REF!,2,0),"")</f>
        <v/>
      </c>
      <c r="AA84" s="37"/>
      <c r="AB84" s="14"/>
      <c r="AD84" s="43" t="str">
        <f t="shared" ca="1" si="30"/>
        <v>Quá hạn</v>
      </c>
      <c r="AE84" s="39"/>
      <c r="AF84" s="37"/>
      <c r="AI84" s="43" t="str">
        <f t="shared" ca="1" si="31"/>
        <v>Quá hạn</v>
      </c>
      <c r="AN84" s="49">
        <f t="shared" si="32"/>
        <v>33</v>
      </c>
      <c r="BA84" s="12" t="str">
        <f t="shared" si="33"/>
        <v>chưa PS</v>
      </c>
      <c r="BD84" s="12">
        <f t="shared" ca="1" si="22"/>
        <v>43150</v>
      </c>
      <c r="BE84" s="12"/>
      <c r="BF84" s="12">
        <f t="shared" ca="1" si="34"/>
        <v>43150</v>
      </c>
      <c r="BG84" s="9" t="str">
        <f t="shared" ca="1" si="23"/>
        <v>Quá hạn</v>
      </c>
      <c r="BH84" s="9"/>
      <c r="BI84" s="9"/>
      <c r="BJ84" s="9"/>
      <c r="BK84" s="9"/>
    </row>
    <row r="85" spans="2:63" ht="25.5" x14ac:dyDescent="0.25">
      <c r="B85" s="9" t="str">
        <f t="shared" si="24"/>
        <v>KHA</v>
      </c>
      <c r="C85" s="3" t="s">
        <v>106</v>
      </c>
      <c r="D85" s="9" t="s">
        <v>202</v>
      </c>
      <c r="F85" s="37" t="s">
        <v>15</v>
      </c>
      <c r="G85" s="37" t="s">
        <v>0</v>
      </c>
      <c r="H85" s="37" t="s">
        <v>2</v>
      </c>
      <c r="I85" s="37">
        <v>300</v>
      </c>
      <c r="J85" s="9">
        <v>15</v>
      </c>
      <c r="K85" s="37" t="s">
        <v>20</v>
      </c>
      <c r="L85" s="39">
        <f t="shared" si="21"/>
        <v>30</v>
      </c>
      <c r="M85" s="39">
        <f t="shared" si="25"/>
        <v>7</v>
      </c>
      <c r="N85" s="39">
        <f t="shared" si="26"/>
        <v>14</v>
      </c>
      <c r="O85" s="39">
        <f t="shared" si="27"/>
        <v>7</v>
      </c>
      <c r="P85" s="37" t="s">
        <v>118</v>
      </c>
      <c r="Q85" s="10">
        <v>43052</v>
      </c>
      <c r="S85" s="12"/>
      <c r="V85" s="43" t="str">
        <f t="shared" ca="1" si="28"/>
        <v>Đã khởi công</v>
      </c>
      <c r="W85" s="10">
        <v>43070</v>
      </c>
      <c r="X85" s="10">
        <v>43075</v>
      </c>
      <c r="Y85" s="43" t="str">
        <f t="shared" ca="1" si="29"/>
        <v>Đã xong móng</v>
      </c>
      <c r="Z85" s="39" t="str">
        <f>IFERROR(VLOOKUP(AA85,#REF!,2,0),"")</f>
        <v/>
      </c>
      <c r="AA85" s="41" t="s">
        <v>7</v>
      </c>
      <c r="AB85" s="14"/>
      <c r="AD85" s="43" t="str">
        <f t="shared" ca="1" si="30"/>
        <v>Quá hạn</v>
      </c>
      <c r="AE85" s="39"/>
      <c r="AF85" s="37"/>
      <c r="AI85" s="43" t="str">
        <f t="shared" ca="1" si="31"/>
        <v>Quá hạn</v>
      </c>
      <c r="AN85" s="49">
        <f t="shared" si="32"/>
        <v>10</v>
      </c>
      <c r="BA85" s="12" t="str">
        <f t="shared" si="33"/>
        <v>chưa PS</v>
      </c>
      <c r="BD85" s="12">
        <f t="shared" ca="1" si="22"/>
        <v>80</v>
      </c>
      <c r="BE85" s="12"/>
      <c r="BF85" s="12">
        <f t="shared" ca="1" si="34"/>
        <v>80</v>
      </c>
      <c r="BG85" s="9" t="str">
        <f t="shared" ca="1" si="23"/>
        <v>Quá hạn</v>
      </c>
      <c r="BH85" s="9"/>
      <c r="BI85" s="9"/>
      <c r="BJ85" s="9"/>
      <c r="BK85" s="2" t="s">
        <v>343</v>
      </c>
    </row>
    <row r="86" spans="2:63" x14ac:dyDescent="0.25">
      <c r="B86" s="9" t="str">
        <f t="shared" si="24"/>
        <v>KHA</v>
      </c>
      <c r="C86" s="7" t="s">
        <v>107</v>
      </c>
      <c r="D86" s="9" t="s">
        <v>203</v>
      </c>
      <c r="F86" s="37" t="s">
        <v>15</v>
      </c>
      <c r="G86" s="37" t="s">
        <v>1</v>
      </c>
      <c r="H86" s="37" t="s">
        <v>2</v>
      </c>
      <c r="I86" s="37" t="s">
        <v>122</v>
      </c>
      <c r="J86" s="9">
        <v>36</v>
      </c>
      <c r="K86" s="37" t="s">
        <v>13</v>
      </c>
      <c r="L86" s="39">
        <f t="shared" si="21"/>
        <v>45</v>
      </c>
      <c r="M86" s="39">
        <f t="shared" si="25"/>
        <v>10</v>
      </c>
      <c r="N86" s="39">
        <f t="shared" si="26"/>
        <v>20</v>
      </c>
      <c r="O86" s="39">
        <f t="shared" si="27"/>
        <v>30</v>
      </c>
      <c r="P86" s="37" t="s">
        <v>118</v>
      </c>
      <c r="S86" s="12"/>
      <c r="T86" s="43" t="str">
        <f>IFERROR(VLOOKUP(U86,#REF!,2,0),"")</f>
        <v/>
      </c>
      <c r="V86" s="43" t="str">
        <f t="shared" ca="1" si="28"/>
        <v/>
      </c>
      <c r="Y86" s="43" t="str">
        <f t="shared" ca="1" si="29"/>
        <v/>
      </c>
      <c r="Z86" s="39" t="str">
        <f>IFERROR(VLOOKUP(AA86,#REF!,2,0),"")</f>
        <v/>
      </c>
      <c r="AA86" s="37"/>
      <c r="AB86" s="14"/>
      <c r="AD86" s="43" t="str">
        <f t="shared" ca="1" si="30"/>
        <v>Quá hạn</v>
      </c>
      <c r="AE86" s="39"/>
      <c r="AF86" s="37"/>
      <c r="AI86" s="43" t="str">
        <f t="shared" ca="1" si="31"/>
        <v>Quá hạn</v>
      </c>
      <c r="AN86" s="49">
        <f t="shared" si="32"/>
        <v>33</v>
      </c>
      <c r="BA86" s="12" t="str">
        <f t="shared" si="33"/>
        <v>chưa PS</v>
      </c>
      <c r="BD86" s="12">
        <f t="shared" ca="1" si="22"/>
        <v>43150</v>
      </c>
      <c r="BE86" s="12"/>
      <c r="BF86" s="12">
        <f t="shared" ca="1" si="34"/>
        <v>43150</v>
      </c>
      <c r="BG86" s="9" t="str">
        <f t="shared" ca="1" si="23"/>
        <v>Quá hạn</v>
      </c>
      <c r="BH86" s="9"/>
      <c r="BI86" s="9"/>
      <c r="BJ86" s="9"/>
      <c r="BK86" s="9"/>
    </row>
    <row r="87" spans="2:63" x14ac:dyDescent="0.25">
      <c r="B87" s="9" t="str">
        <f t="shared" si="24"/>
        <v>KTM</v>
      </c>
      <c r="C87" s="3" t="s">
        <v>108</v>
      </c>
      <c r="D87" s="9" t="s">
        <v>204</v>
      </c>
      <c r="F87" s="37" t="s">
        <v>17</v>
      </c>
      <c r="G87" s="37" t="s">
        <v>1</v>
      </c>
      <c r="H87" s="37" t="s">
        <v>2</v>
      </c>
      <c r="I87" s="37">
        <v>600</v>
      </c>
      <c r="J87" s="9">
        <v>48</v>
      </c>
      <c r="K87" s="37" t="s">
        <v>11</v>
      </c>
      <c r="L87" s="39">
        <f t="shared" si="21"/>
        <v>45</v>
      </c>
      <c r="M87" s="39">
        <f t="shared" si="25"/>
        <v>10</v>
      </c>
      <c r="N87" s="39">
        <f t="shared" si="26"/>
        <v>20</v>
      </c>
      <c r="O87" s="39">
        <f t="shared" si="27"/>
        <v>30</v>
      </c>
      <c r="P87" s="37" t="s">
        <v>118</v>
      </c>
      <c r="Q87" s="10">
        <v>43019</v>
      </c>
      <c r="S87" s="12"/>
      <c r="T87" s="43" t="str">
        <f>IFERROR(VLOOKUP(U87,#REF!,2,0),"")</f>
        <v/>
      </c>
      <c r="U87" s="41" t="s">
        <v>335</v>
      </c>
      <c r="V87" s="43" t="str">
        <f t="shared" ca="1" si="28"/>
        <v>Quá hạn</v>
      </c>
      <c r="Y87" s="43" t="str">
        <f t="shared" ca="1" si="29"/>
        <v/>
      </c>
      <c r="Z87" s="39" t="str">
        <f>IFERROR(VLOOKUP(AA87,#REF!,2,0),"")</f>
        <v/>
      </c>
      <c r="AA87" s="37"/>
      <c r="AB87" s="14"/>
      <c r="AD87" s="43" t="str">
        <f t="shared" ca="1" si="30"/>
        <v>Quá hạn</v>
      </c>
      <c r="AE87" s="39"/>
      <c r="AF87" s="37"/>
      <c r="AI87" s="43" t="str">
        <f t="shared" ca="1" si="31"/>
        <v>Quá hạn</v>
      </c>
      <c r="AN87" s="49">
        <f t="shared" si="32"/>
        <v>33</v>
      </c>
      <c r="BA87" s="12" t="str">
        <f t="shared" si="33"/>
        <v>chưa PS</v>
      </c>
      <c r="BD87" s="12">
        <f t="shared" ca="1" si="22"/>
        <v>43150</v>
      </c>
      <c r="BE87" s="12"/>
      <c r="BF87" s="12">
        <f t="shared" ca="1" si="34"/>
        <v>43150</v>
      </c>
      <c r="BG87" s="9" t="str">
        <f t="shared" ca="1" si="23"/>
        <v>Quá hạn</v>
      </c>
      <c r="BH87" s="9"/>
      <c r="BI87" s="9"/>
      <c r="BJ87" s="9"/>
      <c r="BK87" s="9"/>
    </row>
    <row r="88" spans="2:63" x14ac:dyDescent="0.25">
      <c r="B88" s="9" t="str">
        <f t="shared" si="24"/>
        <v>KTM</v>
      </c>
      <c r="C88" s="1" t="s">
        <v>109</v>
      </c>
      <c r="D88" s="9" t="s">
        <v>205</v>
      </c>
      <c r="F88" s="37" t="s">
        <v>15</v>
      </c>
      <c r="G88" s="37" t="s">
        <v>1</v>
      </c>
      <c r="H88" s="37" t="s">
        <v>2</v>
      </c>
      <c r="I88" s="37">
        <v>600</v>
      </c>
      <c r="J88" s="9">
        <v>36</v>
      </c>
      <c r="K88" s="37" t="s">
        <v>12</v>
      </c>
      <c r="L88" s="39">
        <f t="shared" si="21"/>
        <v>45</v>
      </c>
      <c r="M88" s="39">
        <f t="shared" si="25"/>
        <v>10</v>
      </c>
      <c r="N88" s="39">
        <f t="shared" si="26"/>
        <v>20</v>
      </c>
      <c r="O88" s="39">
        <f t="shared" si="27"/>
        <v>1</v>
      </c>
      <c r="P88" s="37" t="s">
        <v>118</v>
      </c>
      <c r="Q88" s="10">
        <v>43019</v>
      </c>
      <c r="S88" s="12"/>
      <c r="T88" s="43" t="str">
        <f>IFERROR(VLOOKUP(U88,#REF!,2,0),"")</f>
        <v/>
      </c>
      <c r="U88" s="41" t="s">
        <v>8</v>
      </c>
      <c r="V88" s="43" t="str">
        <f t="shared" ca="1" si="28"/>
        <v>Quá hạn</v>
      </c>
      <c r="Y88" s="43" t="str">
        <f t="shared" ca="1" si="29"/>
        <v/>
      </c>
      <c r="Z88" s="39" t="str">
        <f>IFERROR(VLOOKUP(AA88,#REF!,2,0),"")</f>
        <v/>
      </c>
      <c r="AA88" s="37"/>
      <c r="AB88" s="14"/>
      <c r="AD88" s="43" t="str">
        <f t="shared" ca="1" si="30"/>
        <v>Quá hạn</v>
      </c>
      <c r="AE88" s="39"/>
      <c r="AF88" s="37"/>
      <c r="AI88" s="43" t="str">
        <f t="shared" ca="1" si="31"/>
        <v>Quá hạn</v>
      </c>
      <c r="AN88" s="49">
        <f t="shared" si="32"/>
        <v>4</v>
      </c>
      <c r="BA88" s="12" t="str">
        <f t="shared" si="33"/>
        <v>chưa PS</v>
      </c>
      <c r="BD88" s="12">
        <f t="shared" ca="1" si="22"/>
        <v>43150</v>
      </c>
      <c r="BE88" s="12"/>
      <c r="BF88" s="12">
        <f t="shared" ca="1" si="34"/>
        <v>43150</v>
      </c>
      <c r="BG88" s="9" t="str">
        <f t="shared" ca="1" si="23"/>
        <v>Quá hạn</v>
      </c>
      <c r="BH88" s="9"/>
      <c r="BI88" s="9"/>
      <c r="BJ88" s="9"/>
      <c r="BK88" s="9"/>
    </row>
    <row r="89" spans="2:63" x14ac:dyDescent="0.25">
      <c r="B89" s="9" t="str">
        <f t="shared" si="24"/>
        <v>LDG</v>
      </c>
      <c r="C89" s="1" t="s">
        <v>110</v>
      </c>
      <c r="D89" s="9" t="s">
        <v>206</v>
      </c>
      <c r="F89" s="37" t="s">
        <v>17</v>
      </c>
      <c r="G89" s="37" t="s">
        <v>1</v>
      </c>
      <c r="H89" s="37" t="s">
        <v>2</v>
      </c>
      <c r="I89" s="37" t="s">
        <v>123</v>
      </c>
      <c r="J89" s="9">
        <v>36</v>
      </c>
      <c r="K89" s="37" t="s">
        <v>11</v>
      </c>
      <c r="L89" s="39">
        <f t="shared" si="21"/>
        <v>45</v>
      </c>
      <c r="M89" s="39">
        <f t="shared" si="25"/>
        <v>10</v>
      </c>
      <c r="N89" s="39">
        <f t="shared" si="26"/>
        <v>20</v>
      </c>
      <c r="O89" s="39">
        <f t="shared" si="27"/>
        <v>30</v>
      </c>
      <c r="P89" s="37" t="s">
        <v>118</v>
      </c>
      <c r="Q89" s="10">
        <v>43048</v>
      </c>
      <c r="R89" s="10">
        <v>43070</v>
      </c>
      <c r="S89" s="12"/>
      <c r="T89" s="43" t="str">
        <f>IFERROR(VLOOKUP(U89,#REF!,2,0),"")</f>
        <v/>
      </c>
      <c r="V89" s="43" t="str">
        <f t="shared" ca="1" si="28"/>
        <v>Đã khởi công</v>
      </c>
      <c r="W89" s="10">
        <v>43048</v>
      </c>
      <c r="X89" s="10">
        <v>43071</v>
      </c>
      <c r="Y89" s="43" t="str">
        <f t="shared" ca="1" si="29"/>
        <v>Đã xong móng</v>
      </c>
      <c r="Z89" s="39" t="str">
        <f>IFERROR(VLOOKUP(AA89,#REF!,2,0),"")</f>
        <v/>
      </c>
      <c r="AA89" s="37"/>
      <c r="AB89" s="10">
        <v>43071</v>
      </c>
      <c r="AD89" s="43" t="str">
        <f t="shared" ca="1" si="30"/>
        <v>Quá hạn</v>
      </c>
      <c r="AE89" s="39"/>
      <c r="AF89" s="37"/>
      <c r="AI89" s="43" t="str">
        <f t="shared" ca="1" si="31"/>
        <v>Quá hạn</v>
      </c>
      <c r="AN89" s="49">
        <f t="shared" si="32"/>
        <v>33</v>
      </c>
      <c r="BA89" s="12" t="str">
        <f t="shared" si="33"/>
        <v>chưa PS</v>
      </c>
      <c r="BD89" s="12">
        <f t="shared" ca="1" si="22"/>
        <v>102</v>
      </c>
      <c r="BE89" s="12"/>
      <c r="BF89" s="12">
        <f t="shared" ca="1" si="34"/>
        <v>102</v>
      </c>
      <c r="BG89" s="9" t="str">
        <f t="shared" ca="1" si="23"/>
        <v>Quá hạn</v>
      </c>
      <c r="BH89" s="9"/>
      <c r="BI89" s="9"/>
      <c r="BJ89" s="9"/>
      <c r="BK89" s="9"/>
    </row>
    <row r="90" spans="2:63" x14ac:dyDescent="0.25">
      <c r="B90" s="9" t="str">
        <f t="shared" si="24"/>
        <v>NTN</v>
      </c>
      <c r="C90" s="1" t="s">
        <v>111</v>
      </c>
      <c r="D90" s="9" t="s">
        <v>207</v>
      </c>
      <c r="F90" s="37" t="s">
        <v>15</v>
      </c>
      <c r="G90" s="37" t="s">
        <v>1</v>
      </c>
      <c r="H90" s="37" t="s">
        <v>2</v>
      </c>
      <c r="I90" s="37">
        <v>600</v>
      </c>
      <c r="J90" s="9">
        <v>42</v>
      </c>
      <c r="K90" s="37" t="s">
        <v>12</v>
      </c>
      <c r="L90" s="39">
        <f t="shared" si="21"/>
        <v>45</v>
      </c>
      <c r="M90" s="39">
        <f t="shared" si="25"/>
        <v>10</v>
      </c>
      <c r="N90" s="39">
        <f t="shared" si="26"/>
        <v>20</v>
      </c>
      <c r="O90" s="39">
        <f t="shared" si="27"/>
        <v>1</v>
      </c>
      <c r="P90" s="37" t="s">
        <v>118</v>
      </c>
      <c r="Q90" s="10">
        <v>42968</v>
      </c>
      <c r="S90" s="12"/>
      <c r="T90" s="43" t="str">
        <f>IFERROR(VLOOKUP(U90,#REF!,2,0),"")</f>
        <v/>
      </c>
      <c r="V90" s="43" t="str">
        <f t="shared" ca="1" si="28"/>
        <v>Đã khởi công</v>
      </c>
      <c r="W90" s="10">
        <v>42968</v>
      </c>
      <c r="Y90" s="43" t="str">
        <f t="shared" ca="1" si="29"/>
        <v>Quá hạn</v>
      </c>
      <c r="Z90" s="39" t="str">
        <f>IFERROR(VLOOKUP(AA90,#REF!,2,0),"")</f>
        <v/>
      </c>
      <c r="AA90" s="37" t="s">
        <v>9</v>
      </c>
      <c r="AB90" s="14"/>
      <c r="AD90" s="43" t="str">
        <f t="shared" ca="1" si="30"/>
        <v>Quá hạn</v>
      </c>
      <c r="AE90" s="39"/>
      <c r="AF90" s="37"/>
      <c r="AI90" s="43" t="str">
        <f t="shared" ca="1" si="31"/>
        <v>Quá hạn</v>
      </c>
      <c r="AN90" s="49">
        <f t="shared" si="32"/>
        <v>4</v>
      </c>
      <c r="BA90" s="12" t="str">
        <f t="shared" si="33"/>
        <v>chưa PS</v>
      </c>
      <c r="BD90" s="12">
        <f t="shared" ca="1" si="22"/>
        <v>182</v>
      </c>
      <c r="BE90" s="12"/>
      <c r="BF90" s="12">
        <f t="shared" ca="1" si="34"/>
        <v>182</v>
      </c>
      <c r="BG90" s="9" t="str">
        <f t="shared" ca="1" si="23"/>
        <v>Quá hạn</v>
      </c>
      <c r="BH90" s="9"/>
      <c r="BI90" s="9"/>
      <c r="BJ90" s="9"/>
      <c r="BK90" s="9"/>
    </row>
    <row r="91" spans="2:63" x14ac:dyDescent="0.25">
      <c r="B91" s="9" t="str">
        <f t="shared" si="24"/>
        <v>NTN</v>
      </c>
      <c r="C91" s="1" t="s">
        <v>112</v>
      </c>
      <c r="D91" s="9" t="s">
        <v>208</v>
      </c>
      <c r="F91" s="37" t="s">
        <v>15</v>
      </c>
      <c r="G91" s="37" t="s">
        <v>1</v>
      </c>
      <c r="H91" s="37" t="s">
        <v>2</v>
      </c>
      <c r="I91" s="37">
        <v>600</v>
      </c>
      <c r="J91" s="9">
        <v>18</v>
      </c>
      <c r="K91" s="37" t="s">
        <v>12</v>
      </c>
      <c r="L91" s="39">
        <f t="shared" si="21"/>
        <v>45</v>
      </c>
      <c r="M91" s="39">
        <f t="shared" si="25"/>
        <v>7</v>
      </c>
      <c r="N91" s="39">
        <f t="shared" si="26"/>
        <v>14</v>
      </c>
      <c r="O91" s="39">
        <f t="shared" si="27"/>
        <v>1</v>
      </c>
      <c r="P91" s="37" t="s">
        <v>118</v>
      </c>
      <c r="Q91" s="10">
        <v>42984</v>
      </c>
      <c r="S91" s="12"/>
      <c r="T91" s="43" t="str">
        <f>IFERROR(VLOOKUP(U91,#REF!,2,0),"")</f>
        <v/>
      </c>
      <c r="V91" s="43" t="str">
        <f t="shared" ca="1" si="28"/>
        <v>Đã khởi công</v>
      </c>
      <c r="W91" s="10">
        <v>43019</v>
      </c>
      <c r="Y91" s="43" t="str">
        <f t="shared" ca="1" si="29"/>
        <v>Quá hạn</v>
      </c>
      <c r="Z91" s="39" t="str">
        <f>IFERROR(VLOOKUP(AA91,#REF!,2,0),"")</f>
        <v/>
      </c>
      <c r="AA91" s="37" t="s">
        <v>19</v>
      </c>
      <c r="AB91" s="14"/>
      <c r="AD91" s="43" t="str">
        <f t="shared" ca="1" si="30"/>
        <v>Quá hạn</v>
      </c>
      <c r="AE91" s="39"/>
      <c r="AF91" s="37"/>
      <c r="AI91" s="43" t="str">
        <f t="shared" ca="1" si="31"/>
        <v>Quá hạn</v>
      </c>
      <c r="AN91" s="49">
        <f t="shared" si="32"/>
        <v>4</v>
      </c>
      <c r="BA91" s="12" t="str">
        <f t="shared" si="33"/>
        <v>chưa PS</v>
      </c>
      <c r="BD91" s="12">
        <f t="shared" ca="1" si="22"/>
        <v>131</v>
      </c>
      <c r="BE91" s="12"/>
      <c r="BF91" s="12">
        <f t="shared" ca="1" si="34"/>
        <v>131</v>
      </c>
      <c r="BG91" s="9" t="str">
        <f t="shared" ca="1" si="23"/>
        <v>Quá hạn</v>
      </c>
      <c r="BH91" s="9"/>
      <c r="BI91" s="9"/>
      <c r="BJ91" s="9"/>
      <c r="BK91" s="9"/>
    </row>
    <row r="92" spans="2:63" x14ac:dyDescent="0.25">
      <c r="B92" s="9" t="str">
        <f t="shared" si="24"/>
        <v>QTI</v>
      </c>
      <c r="C92" s="5" t="s">
        <v>113</v>
      </c>
      <c r="D92" s="9" t="s">
        <v>209</v>
      </c>
      <c r="F92" s="37" t="s">
        <v>17</v>
      </c>
      <c r="G92" s="37" t="s">
        <v>1</v>
      </c>
      <c r="H92" s="37" t="s">
        <v>2</v>
      </c>
      <c r="I92" s="37" t="s">
        <v>122</v>
      </c>
      <c r="J92" s="9">
        <v>36</v>
      </c>
      <c r="K92" s="37" t="s">
        <v>11</v>
      </c>
      <c r="L92" s="39">
        <f t="shared" si="21"/>
        <v>45</v>
      </c>
      <c r="M92" s="39">
        <f t="shared" si="25"/>
        <v>10</v>
      </c>
      <c r="N92" s="39">
        <f t="shared" si="26"/>
        <v>20</v>
      </c>
      <c r="O92" s="39">
        <f t="shared" si="27"/>
        <v>30</v>
      </c>
      <c r="P92" s="37" t="s">
        <v>118</v>
      </c>
      <c r="Q92" s="10">
        <v>42967</v>
      </c>
      <c r="S92" s="12"/>
      <c r="T92" s="43" t="str">
        <f>IFERROR(VLOOKUP(U92,#REF!,2,0),"")</f>
        <v/>
      </c>
      <c r="V92" s="43" t="str">
        <f t="shared" ca="1" si="28"/>
        <v>Đã khởi công</v>
      </c>
      <c r="W92" s="10">
        <v>42969</v>
      </c>
      <c r="X92" s="14">
        <v>43003</v>
      </c>
      <c r="Y92" s="43" t="str">
        <f t="shared" ca="1" si="29"/>
        <v>Đã xong móng</v>
      </c>
      <c r="Z92" s="39" t="str">
        <f>IFERROR(VLOOKUP(AA92,#REF!,2,0),"")</f>
        <v/>
      </c>
      <c r="AA92" s="37"/>
      <c r="AB92" s="14"/>
      <c r="AD92" s="43" t="str">
        <f t="shared" ca="1" si="30"/>
        <v>Quá hạn</v>
      </c>
      <c r="AE92" s="39"/>
      <c r="AF92" s="37"/>
      <c r="AI92" s="43" t="str">
        <f t="shared" ca="1" si="31"/>
        <v>Quá hạn</v>
      </c>
      <c r="AN92" s="49">
        <f t="shared" si="32"/>
        <v>33</v>
      </c>
      <c r="BA92" s="12" t="str">
        <f t="shared" si="33"/>
        <v>chưa PS</v>
      </c>
      <c r="BD92" s="12">
        <f t="shared" ca="1" si="22"/>
        <v>181</v>
      </c>
      <c r="BE92" s="12"/>
      <c r="BF92" s="12">
        <f t="shared" ca="1" si="34"/>
        <v>181</v>
      </c>
      <c r="BG92" s="9" t="str">
        <f t="shared" ca="1" si="23"/>
        <v>Quá hạn</v>
      </c>
      <c r="BH92" s="9"/>
      <c r="BI92" s="9"/>
      <c r="BJ92" s="9"/>
      <c r="BK92" s="9"/>
    </row>
    <row r="93" spans="2:63" x14ac:dyDescent="0.25">
      <c r="B93" s="9" t="str">
        <f t="shared" si="24"/>
        <v>QTI</v>
      </c>
      <c r="C93" s="5" t="s">
        <v>114</v>
      </c>
      <c r="D93" s="9" t="s">
        <v>210</v>
      </c>
      <c r="F93" s="37" t="s">
        <v>15</v>
      </c>
      <c r="G93" s="37" t="s">
        <v>1</v>
      </c>
      <c r="H93" s="37" t="s">
        <v>2</v>
      </c>
      <c r="I93" s="37">
        <v>600</v>
      </c>
      <c r="J93" s="9">
        <v>60</v>
      </c>
      <c r="K93" s="37" t="s">
        <v>11</v>
      </c>
      <c r="L93" s="39">
        <f t="shared" si="21"/>
        <v>45</v>
      </c>
      <c r="M93" s="39">
        <f t="shared" si="25"/>
        <v>12</v>
      </c>
      <c r="N93" s="39">
        <f t="shared" si="26"/>
        <v>23</v>
      </c>
      <c r="O93" s="39">
        <f t="shared" si="27"/>
        <v>30</v>
      </c>
      <c r="P93" s="37" t="s">
        <v>118</v>
      </c>
      <c r="S93" s="12"/>
      <c r="T93" s="43" t="str">
        <f>IFERROR(VLOOKUP(U93,#REF!,2,0),"")</f>
        <v/>
      </c>
      <c r="V93" s="43" t="str">
        <f t="shared" ca="1" si="28"/>
        <v/>
      </c>
      <c r="Y93" s="43" t="str">
        <f t="shared" ca="1" si="29"/>
        <v/>
      </c>
      <c r="Z93" s="39" t="str">
        <f>IFERROR(VLOOKUP(AA93,#REF!,2,0),"")</f>
        <v/>
      </c>
      <c r="AA93" s="37"/>
      <c r="AB93" s="14"/>
      <c r="AD93" s="43" t="str">
        <f t="shared" ca="1" si="30"/>
        <v>Quá hạn</v>
      </c>
      <c r="AE93" s="39"/>
      <c r="AF93" s="37"/>
      <c r="AI93" s="43" t="str">
        <f t="shared" ca="1" si="31"/>
        <v>Quá hạn</v>
      </c>
      <c r="AN93" s="49">
        <f t="shared" si="32"/>
        <v>33</v>
      </c>
      <c r="BA93" s="12" t="str">
        <f t="shared" si="33"/>
        <v>chưa PS</v>
      </c>
      <c r="BD93" s="12">
        <f t="shared" ca="1" si="22"/>
        <v>43150</v>
      </c>
      <c r="BE93" s="12"/>
      <c r="BF93" s="12">
        <f t="shared" ca="1" si="34"/>
        <v>43150</v>
      </c>
      <c r="BG93" s="9" t="str">
        <f t="shared" ca="1" si="23"/>
        <v>Quá hạn</v>
      </c>
      <c r="BH93" s="9"/>
      <c r="BI93" s="9"/>
      <c r="BJ93" s="9"/>
      <c r="BK93" s="9"/>
    </row>
    <row r="94" spans="2:63" x14ac:dyDescent="0.25">
      <c r="B94" s="9" t="str">
        <f t="shared" si="24"/>
        <v>TTH</v>
      </c>
      <c r="C94" s="5" t="s">
        <v>115</v>
      </c>
      <c r="D94" s="9" t="s">
        <v>211</v>
      </c>
      <c r="F94" s="37" t="s">
        <v>17</v>
      </c>
      <c r="G94" s="37" t="s">
        <v>1</v>
      </c>
      <c r="H94" s="37" t="s">
        <v>2</v>
      </c>
      <c r="I94" s="37">
        <v>600</v>
      </c>
      <c r="J94" s="9">
        <v>36</v>
      </c>
      <c r="K94" s="37" t="s">
        <v>11</v>
      </c>
      <c r="L94" s="39">
        <f t="shared" si="21"/>
        <v>45</v>
      </c>
      <c r="M94" s="39">
        <f t="shared" si="25"/>
        <v>10</v>
      </c>
      <c r="N94" s="39">
        <f t="shared" si="26"/>
        <v>20</v>
      </c>
      <c r="O94" s="39">
        <f t="shared" si="27"/>
        <v>30</v>
      </c>
      <c r="P94" s="37" t="s">
        <v>118</v>
      </c>
      <c r="Q94" s="10">
        <v>42506</v>
      </c>
      <c r="S94" s="12"/>
      <c r="T94" s="43" t="str">
        <f>IFERROR(VLOOKUP(U94,#REF!,2,0),"")</f>
        <v/>
      </c>
      <c r="V94" s="43" t="str">
        <f t="shared" ca="1" si="28"/>
        <v>Đã khởi công</v>
      </c>
      <c r="W94" s="10">
        <v>42987</v>
      </c>
      <c r="Y94" s="43" t="str">
        <f t="shared" ca="1" si="29"/>
        <v>Quá hạn</v>
      </c>
      <c r="Z94" s="39" t="str">
        <f>IFERROR(VLOOKUP(AA94,#REF!,2,0),"")</f>
        <v/>
      </c>
      <c r="AA94" s="37" t="s">
        <v>334</v>
      </c>
      <c r="AB94" s="14"/>
      <c r="AD94" s="43" t="str">
        <f t="shared" ca="1" si="30"/>
        <v>Quá hạn</v>
      </c>
      <c r="AE94" s="39"/>
      <c r="AF94" s="37"/>
      <c r="AI94" s="43" t="str">
        <f t="shared" ca="1" si="31"/>
        <v>Quá hạn</v>
      </c>
      <c r="AN94" s="49">
        <f t="shared" si="32"/>
        <v>33</v>
      </c>
      <c r="BA94" s="12" t="str">
        <f t="shared" si="33"/>
        <v>chưa PS</v>
      </c>
      <c r="BD94" s="12">
        <f t="shared" ca="1" si="22"/>
        <v>163</v>
      </c>
      <c r="BE94" s="12"/>
      <c r="BF94" s="12">
        <f t="shared" ca="1" si="34"/>
        <v>163</v>
      </c>
      <c r="BG94" s="9" t="str">
        <f t="shared" ca="1" si="23"/>
        <v>Quá hạn</v>
      </c>
      <c r="BH94" s="9"/>
      <c r="BI94" s="9"/>
      <c r="BJ94" s="9"/>
      <c r="BK94" s="9"/>
    </row>
    <row r="95" spans="2:63" x14ac:dyDescent="0.25">
      <c r="B95" s="9" t="str">
        <f t="shared" si="24"/>
        <v>TTH</v>
      </c>
      <c r="C95" s="8" t="s">
        <v>116</v>
      </c>
      <c r="D95" s="9" t="s">
        <v>212</v>
      </c>
      <c r="F95" s="37" t="s">
        <v>120</v>
      </c>
      <c r="G95" s="37" t="s">
        <v>1</v>
      </c>
      <c r="H95" s="37" t="s">
        <v>2</v>
      </c>
      <c r="I95" s="37">
        <v>600</v>
      </c>
      <c r="J95" s="9">
        <v>42</v>
      </c>
      <c r="K95" s="37" t="s">
        <v>11</v>
      </c>
      <c r="L95" s="39">
        <f t="shared" si="21"/>
        <v>45</v>
      </c>
      <c r="M95" s="39">
        <f t="shared" si="25"/>
        <v>10</v>
      </c>
      <c r="N95" s="39">
        <f t="shared" si="26"/>
        <v>20</v>
      </c>
      <c r="O95" s="39">
        <f t="shared" si="27"/>
        <v>30</v>
      </c>
      <c r="P95" s="37" t="s">
        <v>118</v>
      </c>
      <c r="Q95" s="10">
        <v>42984</v>
      </c>
      <c r="S95" s="12"/>
      <c r="T95" s="43" t="str">
        <f>IFERROR(VLOOKUP(U95,#REF!,2,0),"")</f>
        <v/>
      </c>
      <c r="U95" s="41" t="s">
        <v>335</v>
      </c>
      <c r="V95" s="43" t="str">
        <f t="shared" ca="1" si="28"/>
        <v>Quá hạn</v>
      </c>
      <c r="Y95" s="43" t="str">
        <f t="shared" ca="1" si="29"/>
        <v/>
      </c>
      <c r="Z95" s="39" t="str">
        <f>IFERROR(VLOOKUP(AA95,#REF!,2,0),"")</f>
        <v/>
      </c>
      <c r="AA95" s="37"/>
      <c r="AB95" s="14"/>
      <c r="AD95" s="43" t="str">
        <f t="shared" ca="1" si="30"/>
        <v>Quá hạn</v>
      </c>
      <c r="AE95" s="39"/>
      <c r="AF95" s="37"/>
      <c r="AI95" s="43" t="str">
        <f t="shared" ca="1" si="31"/>
        <v>Quá hạn</v>
      </c>
      <c r="AN95" s="49">
        <f t="shared" si="32"/>
        <v>33</v>
      </c>
      <c r="BA95" s="12" t="str">
        <f t="shared" si="33"/>
        <v>chưa PS</v>
      </c>
      <c r="BD95" s="12">
        <f t="shared" ca="1" si="22"/>
        <v>43150</v>
      </c>
      <c r="BE95" s="12"/>
      <c r="BF95" s="12">
        <f t="shared" ca="1" si="34"/>
        <v>43150</v>
      </c>
      <c r="BG95" s="9" t="str">
        <f t="shared" ca="1" si="23"/>
        <v>Quá hạn</v>
      </c>
      <c r="BH95" s="9"/>
      <c r="BI95" s="9"/>
      <c r="BJ95" s="9"/>
      <c r="BK95" s="9"/>
    </row>
    <row r="96" spans="2:63" x14ac:dyDescent="0.25">
      <c r="B96" s="9" t="str">
        <f t="shared" si="24"/>
        <v>TTH</v>
      </c>
      <c r="C96" s="8" t="s">
        <v>117</v>
      </c>
      <c r="D96" s="9" t="s">
        <v>213</v>
      </c>
      <c r="F96" s="37" t="s">
        <v>16</v>
      </c>
      <c r="G96" s="37" t="s">
        <v>1</v>
      </c>
      <c r="H96" s="37" t="s">
        <v>2</v>
      </c>
      <c r="I96" s="37" t="s">
        <v>18</v>
      </c>
      <c r="J96" s="9">
        <v>10</v>
      </c>
      <c r="K96" s="37" t="s">
        <v>215</v>
      </c>
      <c r="L96" s="39">
        <f t="shared" si="21"/>
        <v>45</v>
      </c>
      <c r="M96" s="39">
        <f t="shared" ref="M96" si="35">IF(AND(I96=600,J96&lt;19),7,IF(AND(I96="BTLT",J96&lt;23),7,IF(I96="Cóc",5,IF(G96="Trên mái",7,IF(AND(G96="Dưới đất",J96&lt;49),10,IF(AND(G96="Dưới đất",J96&gt;49),12,"Kiểm tra loại cột"))))))</f>
        <v>7</v>
      </c>
      <c r="N96" s="39">
        <f t="shared" ref="N96" si="36">IF(AND(I96=600,J96&lt;19),14,IF(AND(I96="BTLT",J96&lt;23),10,IF(I96="Cóc",10,IF(G96="Trên mái",14,IF(AND(G96="Dưới đất",J96&lt;49),20,IF(AND(G96="Dưới đất",J96&gt;49),23,"Kiểm tra loại cột"))))))</f>
        <v>10</v>
      </c>
      <c r="O96" s="39" t="str">
        <f t="shared" ref="O96" si="37">IF(OR(AND(G96="Trên mái",K96="Cont"),AND(G96="Trên mái",K96="Xây")),25,IF(OR(AND(G96="Dưới đất",K96="Cont"),AND(G96="Dưới đất",K96="Xây")),30,IF(K96="Cải tạo",7,IF(K96="CS",2,IF(K96="DC Mini",1,IF(K96="Minishelter",N96+3,"Kiểm tra loại nhà"))))))</f>
        <v>Kiểm tra loại nhà</v>
      </c>
      <c r="P96" s="37" t="s">
        <v>118</v>
      </c>
      <c r="Q96" s="10">
        <v>42945</v>
      </c>
      <c r="R96" s="10">
        <v>42945</v>
      </c>
      <c r="T96" s="43" t="str">
        <f>IFERROR(VLOOKUP(U96,#REF!,2,0),"")</f>
        <v/>
      </c>
      <c r="U96" s="41" t="s">
        <v>337</v>
      </c>
      <c r="V96" s="43" t="str">
        <f t="shared" ca="1" si="28"/>
        <v>Quá hạn</v>
      </c>
      <c r="Y96" s="43" t="str">
        <f t="shared" ca="1" si="29"/>
        <v/>
      </c>
      <c r="Z96" s="39" t="str">
        <f>IFERROR(VLOOKUP(AA96,#REF!,2,0),"")</f>
        <v/>
      </c>
      <c r="AA96" s="37"/>
      <c r="AB96" s="14"/>
      <c r="AD96" s="43" t="str">
        <f t="shared" ca="1" si="30"/>
        <v>Quá hạn</v>
      </c>
      <c r="AE96" s="39"/>
      <c r="AF96" s="37"/>
      <c r="AI96" s="43" t="str">
        <f t="shared" ca="1" si="31"/>
        <v/>
      </c>
      <c r="AN96" s="49" t="e">
        <f t="shared" si="32"/>
        <v>#VALUE!</v>
      </c>
      <c r="BA96" s="12" t="str">
        <f t="shared" si="33"/>
        <v>chưa PS</v>
      </c>
      <c r="BD96" s="12">
        <f t="shared" ref="BD96:BD159" ca="1" si="38">IF(AZ96="",TODAY()-W96,AZ96-W96)</f>
        <v>43150</v>
      </c>
      <c r="BE96" s="12"/>
      <c r="BF96" s="12">
        <f t="shared" ref="BF96:BF159" ca="1" si="39">BD96-BE96</f>
        <v>43150</v>
      </c>
      <c r="BG96" s="9" t="str">
        <f t="shared" ref="BG96:BG159" ca="1" si="40">IF(BF96&lt;L96,"Trong hạn","Quá hạn")</f>
        <v>Quá hạn</v>
      </c>
      <c r="BH96" s="9"/>
      <c r="BI96" s="9"/>
      <c r="BJ96" s="9"/>
      <c r="BK96" s="9"/>
    </row>
    <row r="97" spans="2:63" x14ac:dyDescent="0.25">
      <c r="B97" s="9" t="str">
        <f t="shared" si="24"/>
        <v>GLI</v>
      </c>
      <c r="C97" s="17" t="s">
        <v>216</v>
      </c>
      <c r="F97" s="37" t="s">
        <v>15</v>
      </c>
      <c r="J97" s="9">
        <v>18</v>
      </c>
      <c r="L97" s="39" t="str">
        <f t="shared" ref="L97:L160" si="41">IF(G97="Trên mái",30,IF(AND(G97="Dưới đất",H97="Đồng bằng"),45,IF(AND(G97="Dưới đất",H97="Miền núi"),60,IF(AND(G97="Cột tự đứng",H97="Ven biển"),150,"Kiểm tra lại lại trạm và địa hình"))))</f>
        <v>Kiểm tra lại lại trạm và địa hình</v>
      </c>
      <c r="M97" s="39" t="str">
        <f t="shared" ref="M97:M160" si="42">IF(AND(I97=600,J97&lt;19),7,IF(AND(I97="BTLT",J97&lt;23),7,IF(I97="Cóc",5,IF(G97="Trên mái",7,IF(AND(G97="Dưới đất",J97&lt;49),10,IF(AND(G97="Dưới đất",J97&gt;49),12,"Kiểm tra loại cột"))))))</f>
        <v>Kiểm tra loại cột</v>
      </c>
      <c r="N97" s="39" t="str">
        <f t="shared" ref="N97:N160" si="43">IF(AND(I97=600,J97&lt;19),14,IF(AND(I97="BTLT",J97&lt;23),10,IF(I97="Cóc",10,IF(G97="Trên mái",14,IF(AND(G97="Dưới đất",J97&lt;49),20,IF(AND(G97="Dưới đất",J97&gt;49),23,"Kiểm tra loại cột"))))))</f>
        <v>Kiểm tra loại cột</v>
      </c>
      <c r="O97" s="39" t="str">
        <f t="shared" ref="O97:O160" si="44">IF(OR(AND(G97="Trên mái",K97="Cont"),AND(G97="Trên mái",K97="Xây")),25,IF(OR(AND(G97="Dưới đất",K97="Cont"),AND(G97="Dưới đất",K97="Xây")),30,IF(K97="Cải tạo",7,IF(K97="CS",2,IF(K97="DC Mini",1,IF(K97="Minishelter",N97+3,"Kiểm tra loại nhà"))))))</f>
        <v>Kiểm tra loại nhà</v>
      </c>
      <c r="P97" s="37" t="s">
        <v>327</v>
      </c>
      <c r="T97" s="43" t="str">
        <f>IFERROR(VLOOKUP(U97,#REF!,2,0),"")</f>
        <v/>
      </c>
      <c r="V97" s="43" t="str">
        <f t="shared" ca="1" si="28"/>
        <v/>
      </c>
      <c r="Y97" s="43" t="str">
        <f t="shared" ca="1" si="29"/>
        <v/>
      </c>
      <c r="Z97" s="39" t="str">
        <f>IFERROR(VLOOKUP(AA97,#REF!,2,0),"")</f>
        <v/>
      </c>
      <c r="AB97" s="14"/>
      <c r="AD97" s="43" t="str">
        <f t="shared" ca="1" si="30"/>
        <v/>
      </c>
      <c r="AI97" s="43" t="str">
        <f t="shared" ca="1" si="31"/>
        <v/>
      </c>
      <c r="AN97" s="49" t="e">
        <f t="shared" si="32"/>
        <v>#VALUE!</v>
      </c>
      <c r="BA97" s="12" t="str">
        <f t="shared" si="33"/>
        <v>chưa PS</v>
      </c>
      <c r="BD97" s="12">
        <f t="shared" ca="1" si="38"/>
        <v>43150</v>
      </c>
      <c r="BF97" s="12">
        <f t="shared" ca="1" si="39"/>
        <v>43150</v>
      </c>
      <c r="BG97" s="9" t="str">
        <f t="shared" ca="1" si="40"/>
        <v>Trong hạn</v>
      </c>
      <c r="BH97" s="9"/>
      <c r="BI97" s="9"/>
      <c r="BJ97" s="9"/>
      <c r="BK97" s="9"/>
    </row>
    <row r="98" spans="2:63" x14ac:dyDescent="0.25">
      <c r="B98" s="9" t="str">
        <f t="shared" si="24"/>
        <v>KHA</v>
      </c>
      <c r="C98" s="18" t="s">
        <v>217</v>
      </c>
      <c r="F98" s="37" t="s">
        <v>15</v>
      </c>
      <c r="J98" s="9">
        <v>42</v>
      </c>
      <c r="L98" s="39" t="str">
        <f t="shared" si="41"/>
        <v>Kiểm tra lại lại trạm và địa hình</v>
      </c>
      <c r="M98" s="39" t="str">
        <f t="shared" si="42"/>
        <v>Kiểm tra loại cột</v>
      </c>
      <c r="N98" s="39" t="str">
        <f t="shared" si="43"/>
        <v>Kiểm tra loại cột</v>
      </c>
      <c r="O98" s="39" t="str">
        <f t="shared" si="44"/>
        <v>Kiểm tra loại nhà</v>
      </c>
      <c r="P98" s="37" t="s">
        <v>327</v>
      </c>
      <c r="T98" s="43" t="str">
        <f>IFERROR(VLOOKUP(U98,#REF!,2,0),"")</f>
        <v/>
      </c>
      <c r="V98" s="43" t="str">
        <f t="shared" ca="1" si="28"/>
        <v/>
      </c>
      <c r="Y98" s="43" t="str">
        <f t="shared" ca="1" si="29"/>
        <v/>
      </c>
      <c r="Z98" s="39" t="str">
        <f>IFERROR(VLOOKUP(AA98,#REF!,2,0),"")</f>
        <v/>
      </c>
      <c r="AB98" s="14"/>
      <c r="AD98" s="43" t="str">
        <f t="shared" ca="1" si="30"/>
        <v/>
      </c>
      <c r="AI98" s="43" t="str">
        <f t="shared" ca="1" si="31"/>
        <v/>
      </c>
      <c r="AN98" s="49" t="e">
        <f t="shared" si="32"/>
        <v>#VALUE!</v>
      </c>
      <c r="BA98" s="12" t="str">
        <f t="shared" si="33"/>
        <v>chưa PS</v>
      </c>
      <c r="BD98" s="12">
        <f t="shared" ca="1" si="38"/>
        <v>43150</v>
      </c>
      <c r="BF98" s="12">
        <f t="shared" ca="1" si="39"/>
        <v>43150</v>
      </c>
      <c r="BG98" s="9" t="str">
        <f t="shared" ca="1" si="40"/>
        <v>Trong hạn</v>
      </c>
      <c r="BH98" s="9"/>
      <c r="BI98" s="9"/>
      <c r="BJ98" s="9"/>
      <c r="BK98" s="9"/>
    </row>
    <row r="99" spans="2:63" x14ac:dyDescent="0.25">
      <c r="B99" s="9" t="str">
        <f t="shared" si="24"/>
        <v>KHA</v>
      </c>
      <c r="C99" s="18" t="s">
        <v>218</v>
      </c>
      <c r="F99" s="37" t="s">
        <v>15</v>
      </c>
      <c r="J99" s="9">
        <v>42</v>
      </c>
      <c r="L99" s="39" t="str">
        <f t="shared" si="41"/>
        <v>Kiểm tra lại lại trạm và địa hình</v>
      </c>
      <c r="M99" s="39" t="str">
        <f t="shared" si="42"/>
        <v>Kiểm tra loại cột</v>
      </c>
      <c r="N99" s="39" t="str">
        <f t="shared" si="43"/>
        <v>Kiểm tra loại cột</v>
      </c>
      <c r="O99" s="39" t="str">
        <f t="shared" si="44"/>
        <v>Kiểm tra loại nhà</v>
      </c>
      <c r="P99" s="37" t="s">
        <v>327</v>
      </c>
      <c r="T99" s="43" t="str">
        <f>IFERROR(VLOOKUP(U99,#REF!,2,0),"")</f>
        <v/>
      </c>
      <c r="V99" s="43" t="str">
        <f t="shared" ca="1" si="28"/>
        <v/>
      </c>
      <c r="Y99" s="43" t="str">
        <f t="shared" ca="1" si="29"/>
        <v/>
      </c>
      <c r="Z99" s="39" t="str">
        <f>IFERROR(VLOOKUP(AA99,#REF!,2,0),"")</f>
        <v/>
      </c>
      <c r="AB99" s="14"/>
      <c r="AD99" s="43" t="str">
        <f t="shared" ca="1" si="30"/>
        <v/>
      </c>
      <c r="AI99" s="43" t="str">
        <f t="shared" ca="1" si="31"/>
        <v/>
      </c>
      <c r="AN99" s="49" t="e">
        <f t="shared" si="32"/>
        <v>#VALUE!</v>
      </c>
      <c r="BA99" s="12" t="str">
        <f t="shared" si="33"/>
        <v>chưa PS</v>
      </c>
      <c r="BD99" s="12">
        <f t="shared" ca="1" si="38"/>
        <v>43150</v>
      </c>
      <c r="BF99" s="12">
        <f t="shared" ca="1" si="39"/>
        <v>43150</v>
      </c>
      <c r="BG99" s="9" t="str">
        <f t="shared" ca="1" si="40"/>
        <v>Trong hạn</v>
      </c>
      <c r="BH99" s="9"/>
      <c r="BI99" s="9"/>
      <c r="BJ99" s="9"/>
      <c r="BK99" s="9"/>
    </row>
    <row r="100" spans="2:63" x14ac:dyDescent="0.25">
      <c r="B100" s="9" t="str">
        <f t="shared" si="24"/>
        <v>KHA</v>
      </c>
      <c r="C100" s="18" t="s">
        <v>219</v>
      </c>
      <c r="F100" s="37" t="s">
        <v>15</v>
      </c>
      <c r="J100" s="9">
        <v>42</v>
      </c>
      <c r="L100" s="39" t="str">
        <f t="shared" si="41"/>
        <v>Kiểm tra lại lại trạm và địa hình</v>
      </c>
      <c r="M100" s="39" t="str">
        <f t="shared" si="42"/>
        <v>Kiểm tra loại cột</v>
      </c>
      <c r="N100" s="39" t="str">
        <f t="shared" si="43"/>
        <v>Kiểm tra loại cột</v>
      </c>
      <c r="O100" s="39" t="str">
        <f t="shared" si="44"/>
        <v>Kiểm tra loại nhà</v>
      </c>
      <c r="P100" s="37" t="s">
        <v>327</v>
      </c>
      <c r="T100" s="43" t="str">
        <f>IFERROR(VLOOKUP(U100,#REF!,2,0),"")</f>
        <v/>
      </c>
      <c r="V100" s="43" t="str">
        <f t="shared" ca="1" si="28"/>
        <v/>
      </c>
      <c r="Y100" s="43" t="str">
        <f t="shared" ca="1" si="29"/>
        <v/>
      </c>
      <c r="Z100" s="39" t="str">
        <f>IFERROR(VLOOKUP(AA100,#REF!,2,0),"")</f>
        <v/>
      </c>
      <c r="AB100" s="14"/>
      <c r="AD100" s="43" t="str">
        <f t="shared" ca="1" si="30"/>
        <v/>
      </c>
      <c r="AI100" s="43" t="str">
        <f t="shared" ca="1" si="31"/>
        <v/>
      </c>
      <c r="AN100" s="49" t="e">
        <f t="shared" si="32"/>
        <v>#VALUE!</v>
      </c>
      <c r="BA100" s="12" t="str">
        <f t="shared" si="33"/>
        <v>chưa PS</v>
      </c>
      <c r="BD100" s="12">
        <f t="shared" ca="1" si="38"/>
        <v>43150</v>
      </c>
      <c r="BF100" s="12">
        <f t="shared" ca="1" si="39"/>
        <v>43150</v>
      </c>
      <c r="BG100" s="9" t="str">
        <f t="shared" ca="1" si="40"/>
        <v>Trong hạn</v>
      </c>
      <c r="BH100" s="9"/>
      <c r="BI100" s="9"/>
      <c r="BJ100" s="9"/>
      <c r="BK100" s="9"/>
    </row>
    <row r="101" spans="2:63" x14ac:dyDescent="0.25">
      <c r="B101" s="9" t="str">
        <f t="shared" si="24"/>
        <v>KHA</v>
      </c>
      <c r="C101" s="18" t="s">
        <v>220</v>
      </c>
      <c r="F101" s="37" t="s">
        <v>15</v>
      </c>
      <c r="J101" s="9">
        <v>30</v>
      </c>
      <c r="L101" s="39" t="str">
        <f t="shared" si="41"/>
        <v>Kiểm tra lại lại trạm và địa hình</v>
      </c>
      <c r="M101" s="39" t="str">
        <f t="shared" si="42"/>
        <v>Kiểm tra loại cột</v>
      </c>
      <c r="N101" s="39" t="str">
        <f t="shared" si="43"/>
        <v>Kiểm tra loại cột</v>
      </c>
      <c r="O101" s="39" t="str">
        <f t="shared" si="44"/>
        <v>Kiểm tra loại nhà</v>
      </c>
      <c r="P101" s="37" t="s">
        <v>327</v>
      </c>
      <c r="T101" s="43" t="str">
        <f>IFERROR(VLOOKUP(U101,#REF!,2,0),"")</f>
        <v/>
      </c>
      <c r="V101" s="43" t="str">
        <f t="shared" ca="1" si="28"/>
        <v/>
      </c>
      <c r="Y101" s="43" t="str">
        <f t="shared" ca="1" si="29"/>
        <v/>
      </c>
      <c r="Z101" s="39" t="str">
        <f>IFERROR(VLOOKUP(AA101,#REF!,2,0),"")</f>
        <v/>
      </c>
      <c r="AB101" s="14"/>
      <c r="AD101" s="43" t="str">
        <f t="shared" ca="1" si="30"/>
        <v/>
      </c>
      <c r="AI101" s="43" t="str">
        <f t="shared" ca="1" si="31"/>
        <v/>
      </c>
      <c r="AN101" s="49" t="e">
        <f t="shared" si="32"/>
        <v>#VALUE!</v>
      </c>
      <c r="BA101" s="12" t="str">
        <f t="shared" si="33"/>
        <v>chưa PS</v>
      </c>
      <c r="BD101" s="12">
        <f t="shared" ca="1" si="38"/>
        <v>43150</v>
      </c>
      <c r="BF101" s="12">
        <f t="shared" ca="1" si="39"/>
        <v>43150</v>
      </c>
      <c r="BG101" s="9" t="str">
        <f t="shared" ca="1" si="40"/>
        <v>Trong hạn</v>
      </c>
      <c r="BH101" s="9"/>
      <c r="BI101" s="9"/>
      <c r="BJ101" s="9"/>
      <c r="BK101" s="9"/>
    </row>
    <row r="102" spans="2:63" x14ac:dyDescent="0.25">
      <c r="B102" s="9" t="str">
        <f t="shared" si="24"/>
        <v>KHA</v>
      </c>
      <c r="C102" s="18" t="s">
        <v>221</v>
      </c>
      <c r="F102" s="37" t="s">
        <v>15</v>
      </c>
      <c r="J102" s="9">
        <v>42</v>
      </c>
      <c r="L102" s="39" t="str">
        <f t="shared" si="41"/>
        <v>Kiểm tra lại lại trạm và địa hình</v>
      </c>
      <c r="M102" s="39" t="str">
        <f t="shared" si="42"/>
        <v>Kiểm tra loại cột</v>
      </c>
      <c r="N102" s="39" t="str">
        <f t="shared" si="43"/>
        <v>Kiểm tra loại cột</v>
      </c>
      <c r="O102" s="39" t="str">
        <f t="shared" si="44"/>
        <v>Kiểm tra loại nhà</v>
      </c>
      <c r="P102" s="37" t="s">
        <v>327</v>
      </c>
      <c r="T102" s="43" t="str">
        <f>IFERROR(VLOOKUP(U102,#REF!,2,0),"")</f>
        <v/>
      </c>
      <c r="V102" s="43" t="str">
        <f t="shared" ca="1" si="28"/>
        <v/>
      </c>
      <c r="Y102" s="43" t="str">
        <f t="shared" ca="1" si="29"/>
        <v/>
      </c>
      <c r="Z102" s="39" t="str">
        <f>IFERROR(VLOOKUP(AA102,#REF!,2,0),"")</f>
        <v/>
      </c>
      <c r="AB102" s="14"/>
      <c r="AD102" s="43" t="str">
        <f t="shared" ca="1" si="30"/>
        <v/>
      </c>
      <c r="AI102" s="43" t="str">
        <f t="shared" ca="1" si="31"/>
        <v/>
      </c>
      <c r="AN102" s="49" t="e">
        <f t="shared" si="32"/>
        <v>#VALUE!</v>
      </c>
      <c r="BA102" s="12" t="str">
        <f t="shared" si="33"/>
        <v>chưa PS</v>
      </c>
      <c r="BD102" s="12">
        <f t="shared" ca="1" si="38"/>
        <v>43150</v>
      </c>
      <c r="BF102" s="12">
        <f t="shared" ca="1" si="39"/>
        <v>43150</v>
      </c>
      <c r="BG102" s="9" t="str">
        <f t="shared" ca="1" si="40"/>
        <v>Trong hạn</v>
      </c>
      <c r="BH102" s="9"/>
      <c r="BI102" s="9"/>
      <c r="BJ102" s="9"/>
      <c r="BK102" s="9"/>
    </row>
    <row r="103" spans="2:63" x14ac:dyDescent="0.25">
      <c r="B103" s="9" t="str">
        <f t="shared" si="24"/>
        <v>KHA</v>
      </c>
      <c r="C103" s="18" t="s">
        <v>222</v>
      </c>
      <c r="F103" s="37" t="s">
        <v>16</v>
      </c>
      <c r="J103" s="9">
        <v>42</v>
      </c>
      <c r="L103" s="39" t="str">
        <f t="shared" si="41"/>
        <v>Kiểm tra lại lại trạm và địa hình</v>
      </c>
      <c r="M103" s="39" t="str">
        <f t="shared" si="42"/>
        <v>Kiểm tra loại cột</v>
      </c>
      <c r="N103" s="39" t="str">
        <f t="shared" si="43"/>
        <v>Kiểm tra loại cột</v>
      </c>
      <c r="O103" s="39" t="str">
        <f t="shared" si="44"/>
        <v>Kiểm tra loại nhà</v>
      </c>
      <c r="P103" s="37" t="s">
        <v>327</v>
      </c>
      <c r="T103" s="43" t="str">
        <f>IFERROR(VLOOKUP(U103,#REF!,2,0),"")</f>
        <v/>
      </c>
      <c r="V103" s="43" t="str">
        <f t="shared" ca="1" si="28"/>
        <v/>
      </c>
      <c r="Y103" s="43" t="str">
        <f t="shared" ca="1" si="29"/>
        <v/>
      </c>
      <c r="Z103" s="39" t="str">
        <f>IFERROR(VLOOKUP(AA103,#REF!,2,0),"")</f>
        <v/>
      </c>
      <c r="AB103" s="14"/>
      <c r="AD103" s="43" t="str">
        <f t="shared" ca="1" si="30"/>
        <v/>
      </c>
      <c r="AI103" s="43" t="str">
        <f t="shared" ca="1" si="31"/>
        <v/>
      </c>
      <c r="AN103" s="49" t="e">
        <f t="shared" si="32"/>
        <v>#VALUE!</v>
      </c>
      <c r="BA103" s="12" t="str">
        <f t="shared" si="33"/>
        <v>chưa PS</v>
      </c>
      <c r="BD103" s="12">
        <f t="shared" ca="1" si="38"/>
        <v>43150</v>
      </c>
      <c r="BF103" s="12">
        <f t="shared" ca="1" si="39"/>
        <v>43150</v>
      </c>
      <c r="BG103" s="9" t="str">
        <f t="shared" ca="1" si="40"/>
        <v>Trong hạn</v>
      </c>
      <c r="BH103" s="9"/>
      <c r="BI103" s="9"/>
      <c r="BJ103" s="9"/>
      <c r="BK103" s="9"/>
    </row>
    <row r="104" spans="2:63" x14ac:dyDescent="0.25">
      <c r="B104" s="9" t="str">
        <f t="shared" si="24"/>
        <v>KHA</v>
      </c>
      <c r="C104" s="18" t="s">
        <v>223</v>
      </c>
      <c r="F104" s="37" t="s">
        <v>15</v>
      </c>
      <c r="J104" s="9">
        <v>42</v>
      </c>
      <c r="L104" s="39" t="str">
        <f t="shared" si="41"/>
        <v>Kiểm tra lại lại trạm và địa hình</v>
      </c>
      <c r="M104" s="39" t="str">
        <f t="shared" si="42"/>
        <v>Kiểm tra loại cột</v>
      </c>
      <c r="N104" s="39" t="str">
        <f t="shared" si="43"/>
        <v>Kiểm tra loại cột</v>
      </c>
      <c r="O104" s="39" t="str">
        <f t="shared" si="44"/>
        <v>Kiểm tra loại nhà</v>
      </c>
      <c r="P104" s="37" t="s">
        <v>327</v>
      </c>
      <c r="T104" s="43" t="str">
        <f>IFERROR(VLOOKUP(U104,#REF!,2,0),"")</f>
        <v/>
      </c>
      <c r="V104" s="43" t="str">
        <f t="shared" ca="1" si="28"/>
        <v/>
      </c>
      <c r="Y104" s="43" t="str">
        <f t="shared" ca="1" si="29"/>
        <v/>
      </c>
      <c r="Z104" s="39" t="str">
        <f>IFERROR(VLOOKUP(AA104,#REF!,2,0),"")</f>
        <v/>
      </c>
      <c r="AB104" s="14"/>
      <c r="AD104" s="43" t="str">
        <f t="shared" ca="1" si="30"/>
        <v/>
      </c>
      <c r="AI104" s="43" t="str">
        <f t="shared" ca="1" si="31"/>
        <v/>
      </c>
      <c r="AN104" s="49" t="e">
        <f t="shared" si="32"/>
        <v>#VALUE!</v>
      </c>
      <c r="BA104" s="12" t="str">
        <f t="shared" si="33"/>
        <v>chưa PS</v>
      </c>
      <c r="BD104" s="12">
        <f t="shared" ca="1" si="38"/>
        <v>43150</v>
      </c>
      <c r="BF104" s="12">
        <f t="shared" ca="1" si="39"/>
        <v>43150</v>
      </c>
      <c r="BG104" s="9" t="str">
        <f t="shared" ca="1" si="40"/>
        <v>Trong hạn</v>
      </c>
      <c r="BH104" s="9"/>
      <c r="BI104" s="9"/>
      <c r="BJ104" s="9"/>
      <c r="BK104" s="9"/>
    </row>
    <row r="105" spans="2:63" x14ac:dyDescent="0.25">
      <c r="B105" s="9" t="str">
        <f t="shared" si="24"/>
        <v>KHA</v>
      </c>
      <c r="C105" s="18" t="s">
        <v>224</v>
      </c>
      <c r="F105" s="37" t="s">
        <v>15</v>
      </c>
      <c r="J105" s="9">
        <v>36</v>
      </c>
      <c r="L105" s="39" t="str">
        <f t="shared" si="41"/>
        <v>Kiểm tra lại lại trạm và địa hình</v>
      </c>
      <c r="M105" s="39" t="str">
        <f t="shared" si="42"/>
        <v>Kiểm tra loại cột</v>
      </c>
      <c r="N105" s="39" t="str">
        <f t="shared" si="43"/>
        <v>Kiểm tra loại cột</v>
      </c>
      <c r="O105" s="39" t="str">
        <f t="shared" si="44"/>
        <v>Kiểm tra loại nhà</v>
      </c>
      <c r="P105" s="37" t="s">
        <v>327</v>
      </c>
      <c r="T105" s="43" t="str">
        <f>IFERROR(VLOOKUP(U105,#REF!,2,0),"")</f>
        <v/>
      </c>
      <c r="V105" s="43" t="str">
        <f t="shared" ca="1" si="28"/>
        <v/>
      </c>
      <c r="Y105" s="43" t="str">
        <f t="shared" ca="1" si="29"/>
        <v/>
      </c>
      <c r="Z105" s="39" t="str">
        <f>IFERROR(VLOOKUP(AA105,#REF!,2,0),"")</f>
        <v/>
      </c>
      <c r="AB105" s="14"/>
      <c r="AD105" s="43" t="str">
        <f t="shared" ca="1" si="30"/>
        <v/>
      </c>
      <c r="AI105" s="43" t="str">
        <f t="shared" ca="1" si="31"/>
        <v/>
      </c>
      <c r="AN105" s="49" t="e">
        <f t="shared" si="32"/>
        <v>#VALUE!</v>
      </c>
      <c r="BA105" s="12" t="str">
        <f t="shared" si="33"/>
        <v>chưa PS</v>
      </c>
      <c r="BD105" s="12">
        <f t="shared" ca="1" si="38"/>
        <v>43150</v>
      </c>
      <c r="BF105" s="12">
        <f t="shared" ca="1" si="39"/>
        <v>43150</v>
      </c>
      <c r="BG105" s="9" t="str">
        <f t="shared" ca="1" si="40"/>
        <v>Trong hạn</v>
      </c>
      <c r="BH105" s="9"/>
      <c r="BI105" s="9"/>
      <c r="BJ105" s="9"/>
      <c r="BK105" s="9"/>
    </row>
    <row r="106" spans="2:63" x14ac:dyDescent="0.25">
      <c r="B106" s="9" t="str">
        <f t="shared" si="24"/>
        <v>KHA</v>
      </c>
      <c r="C106" s="18" t="s">
        <v>225</v>
      </c>
      <c r="F106" s="37" t="s">
        <v>15</v>
      </c>
      <c r="J106" s="9">
        <v>30</v>
      </c>
      <c r="L106" s="39" t="str">
        <f t="shared" si="41"/>
        <v>Kiểm tra lại lại trạm và địa hình</v>
      </c>
      <c r="M106" s="39" t="str">
        <f t="shared" si="42"/>
        <v>Kiểm tra loại cột</v>
      </c>
      <c r="N106" s="39" t="str">
        <f t="shared" si="43"/>
        <v>Kiểm tra loại cột</v>
      </c>
      <c r="O106" s="39" t="str">
        <f t="shared" si="44"/>
        <v>Kiểm tra loại nhà</v>
      </c>
      <c r="P106" s="37" t="s">
        <v>327</v>
      </c>
      <c r="T106" s="43" t="str">
        <f>IFERROR(VLOOKUP(U106,#REF!,2,0),"")</f>
        <v/>
      </c>
      <c r="V106" s="43" t="str">
        <f t="shared" ca="1" si="28"/>
        <v/>
      </c>
      <c r="Y106" s="43" t="str">
        <f t="shared" ca="1" si="29"/>
        <v/>
      </c>
      <c r="Z106" s="39" t="str">
        <f>IFERROR(VLOOKUP(AA106,#REF!,2,0),"")</f>
        <v/>
      </c>
      <c r="AB106" s="14"/>
      <c r="AD106" s="43" t="str">
        <f t="shared" ca="1" si="30"/>
        <v/>
      </c>
      <c r="AI106" s="43" t="str">
        <f t="shared" ca="1" si="31"/>
        <v/>
      </c>
      <c r="AN106" s="49" t="e">
        <f t="shared" si="32"/>
        <v>#VALUE!</v>
      </c>
      <c r="BA106" s="12" t="str">
        <f t="shared" si="33"/>
        <v>chưa PS</v>
      </c>
      <c r="BD106" s="12">
        <f t="shared" ca="1" si="38"/>
        <v>43150</v>
      </c>
      <c r="BF106" s="12">
        <f t="shared" ca="1" si="39"/>
        <v>43150</v>
      </c>
      <c r="BG106" s="9" t="str">
        <f t="shared" ca="1" si="40"/>
        <v>Trong hạn</v>
      </c>
      <c r="BH106" s="9"/>
      <c r="BI106" s="9"/>
      <c r="BJ106" s="9"/>
      <c r="BK106" s="9"/>
    </row>
    <row r="107" spans="2:63" x14ac:dyDescent="0.25">
      <c r="B107" s="9" t="str">
        <f t="shared" si="24"/>
        <v>KHA</v>
      </c>
      <c r="C107" s="18" t="s">
        <v>226</v>
      </c>
      <c r="F107" s="37" t="s">
        <v>15</v>
      </c>
      <c r="J107" s="9">
        <v>42</v>
      </c>
      <c r="L107" s="39" t="str">
        <f t="shared" si="41"/>
        <v>Kiểm tra lại lại trạm và địa hình</v>
      </c>
      <c r="M107" s="39" t="str">
        <f t="shared" si="42"/>
        <v>Kiểm tra loại cột</v>
      </c>
      <c r="N107" s="39" t="str">
        <f t="shared" si="43"/>
        <v>Kiểm tra loại cột</v>
      </c>
      <c r="O107" s="39" t="str">
        <f t="shared" si="44"/>
        <v>Kiểm tra loại nhà</v>
      </c>
      <c r="P107" s="37" t="s">
        <v>327</v>
      </c>
      <c r="T107" s="43" t="str">
        <f>IFERROR(VLOOKUP(U107,#REF!,2,0),"")</f>
        <v/>
      </c>
      <c r="V107" s="43" t="str">
        <f t="shared" ca="1" si="28"/>
        <v/>
      </c>
      <c r="Y107" s="43" t="str">
        <f t="shared" ca="1" si="29"/>
        <v/>
      </c>
      <c r="Z107" s="39" t="str">
        <f>IFERROR(VLOOKUP(AA107,#REF!,2,0),"")</f>
        <v/>
      </c>
      <c r="AB107" s="14"/>
      <c r="AD107" s="43" t="str">
        <f t="shared" ca="1" si="30"/>
        <v/>
      </c>
      <c r="AI107" s="43" t="str">
        <f t="shared" ca="1" si="31"/>
        <v/>
      </c>
      <c r="AN107" s="49" t="e">
        <f t="shared" si="32"/>
        <v>#VALUE!</v>
      </c>
      <c r="BA107" s="12" t="str">
        <f t="shared" si="33"/>
        <v>chưa PS</v>
      </c>
      <c r="BD107" s="12">
        <f t="shared" ca="1" si="38"/>
        <v>43150</v>
      </c>
      <c r="BF107" s="12">
        <f t="shared" ca="1" si="39"/>
        <v>43150</v>
      </c>
      <c r="BG107" s="9" t="str">
        <f t="shared" ca="1" si="40"/>
        <v>Trong hạn</v>
      </c>
      <c r="BH107" s="9"/>
      <c r="BI107" s="9"/>
      <c r="BJ107" s="9"/>
      <c r="BK107" s="9"/>
    </row>
    <row r="108" spans="2:63" x14ac:dyDescent="0.25">
      <c r="B108" s="9" t="str">
        <f t="shared" si="24"/>
        <v>KHA</v>
      </c>
      <c r="C108" s="19" t="s">
        <v>227</v>
      </c>
      <c r="F108" s="37" t="s">
        <v>16</v>
      </c>
      <c r="J108" s="9">
        <v>42</v>
      </c>
      <c r="L108" s="39" t="str">
        <f t="shared" si="41"/>
        <v>Kiểm tra lại lại trạm và địa hình</v>
      </c>
      <c r="M108" s="39" t="str">
        <f t="shared" si="42"/>
        <v>Kiểm tra loại cột</v>
      </c>
      <c r="N108" s="39" t="str">
        <f t="shared" si="43"/>
        <v>Kiểm tra loại cột</v>
      </c>
      <c r="O108" s="39" t="str">
        <f t="shared" si="44"/>
        <v>Kiểm tra loại nhà</v>
      </c>
      <c r="P108" s="37" t="s">
        <v>327</v>
      </c>
      <c r="T108" s="43" t="str">
        <f>IFERROR(VLOOKUP(U108,#REF!,2,0),"")</f>
        <v/>
      </c>
      <c r="V108" s="43" t="str">
        <f t="shared" ca="1" si="28"/>
        <v/>
      </c>
      <c r="Y108" s="43" t="str">
        <f t="shared" ca="1" si="29"/>
        <v/>
      </c>
      <c r="Z108" s="39" t="str">
        <f>IFERROR(VLOOKUP(AA108,#REF!,2,0),"")</f>
        <v/>
      </c>
      <c r="AB108" s="14"/>
      <c r="AD108" s="43" t="str">
        <f t="shared" ca="1" si="30"/>
        <v/>
      </c>
      <c r="AI108" s="43" t="str">
        <f t="shared" ca="1" si="31"/>
        <v/>
      </c>
      <c r="AN108" s="49" t="e">
        <f t="shared" si="32"/>
        <v>#VALUE!</v>
      </c>
      <c r="BA108" s="12" t="str">
        <f t="shared" si="33"/>
        <v>chưa PS</v>
      </c>
      <c r="BD108" s="12">
        <f t="shared" ca="1" si="38"/>
        <v>43150</v>
      </c>
      <c r="BF108" s="12">
        <f t="shared" ca="1" si="39"/>
        <v>43150</v>
      </c>
      <c r="BG108" s="9" t="str">
        <f t="shared" ca="1" si="40"/>
        <v>Trong hạn</v>
      </c>
      <c r="BH108" s="9"/>
      <c r="BI108" s="9"/>
      <c r="BJ108" s="9"/>
      <c r="BK108" s="9"/>
    </row>
    <row r="109" spans="2:63" x14ac:dyDescent="0.25">
      <c r="B109" s="9" t="str">
        <f t="shared" si="24"/>
        <v>KHA</v>
      </c>
      <c r="C109" s="19" t="s">
        <v>228</v>
      </c>
      <c r="F109" s="37" t="s">
        <v>15</v>
      </c>
      <c r="G109" s="37" t="s">
        <v>1</v>
      </c>
      <c r="H109" s="37" t="s">
        <v>2</v>
      </c>
      <c r="I109" s="37">
        <v>600</v>
      </c>
      <c r="J109" s="9">
        <v>42</v>
      </c>
      <c r="K109" s="37" t="s">
        <v>12</v>
      </c>
      <c r="L109" s="39">
        <f t="shared" si="41"/>
        <v>45</v>
      </c>
      <c r="M109" s="39">
        <f t="shared" si="42"/>
        <v>10</v>
      </c>
      <c r="N109" s="39">
        <f t="shared" si="43"/>
        <v>20</v>
      </c>
      <c r="O109" s="39">
        <f t="shared" si="44"/>
        <v>1</v>
      </c>
      <c r="P109" s="37" t="s">
        <v>327</v>
      </c>
      <c r="R109" s="10">
        <f t="shared" ref="R109:R111" si="45">Q109+7</f>
        <v>7</v>
      </c>
      <c r="T109" s="43" t="str">
        <f>IFERROR(VLOOKUP(U109,#REF!,2,0),"")</f>
        <v/>
      </c>
      <c r="V109" s="43" t="str">
        <f t="shared" ca="1" si="28"/>
        <v/>
      </c>
      <c r="Y109" s="43" t="str">
        <f t="shared" ca="1" si="29"/>
        <v/>
      </c>
      <c r="Z109" s="39" t="str">
        <f>IFERROR(VLOOKUP(AA109,#REF!,2,0),"")</f>
        <v/>
      </c>
      <c r="AB109" s="14" t="s">
        <v>330</v>
      </c>
      <c r="AD109" s="43" t="str">
        <f t="shared" ca="1" si="30"/>
        <v>Quá hạn</v>
      </c>
      <c r="AI109" s="43" t="str">
        <f t="shared" ca="1" si="31"/>
        <v>Quá hạn</v>
      </c>
      <c r="AN109" s="49">
        <f t="shared" si="32"/>
        <v>4</v>
      </c>
      <c r="BA109" s="12" t="str">
        <f t="shared" si="33"/>
        <v>chưa PS</v>
      </c>
      <c r="BD109" s="12">
        <f t="shared" ca="1" si="38"/>
        <v>43150</v>
      </c>
      <c r="BF109" s="12">
        <f t="shared" ca="1" si="39"/>
        <v>43150</v>
      </c>
      <c r="BG109" s="9" t="str">
        <f t="shared" ca="1" si="40"/>
        <v>Quá hạn</v>
      </c>
      <c r="BH109" s="9"/>
      <c r="BI109" s="9"/>
      <c r="BJ109" s="9"/>
      <c r="BK109" s="9"/>
    </row>
    <row r="110" spans="2:63" x14ac:dyDescent="0.25">
      <c r="B110" s="9" t="str">
        <f t="shared" si="24"/>
        <v>KTM</v>
      </c>
      <c r="C110" s="17" t="s">
        <v>229</v>
      </c>
      <c r="F110" s="37" t="s">
        <v>16</v>
      </c>
      <c r="J110" s="9">
        <v>18</v>
      </c>
      <c r="L110" s="39" t="str">
        <f t="shared" si="41"/>
        <v>Kiểm tra lại lại trạm và địa hình</v>
      </c>
      <c r="M110" s="39" t="str">
        <f t="shared" si="42"/>
        <v>Kiểm tra loại cột</v>
      </c>
      <c r="N110" s="39" t="str">
        <f t="shared" si="43"/>
        <v>Kiểm tra loại cột</v>
      </c>
      <c r="O110" s="39" t="str">
        <f t="shared" si="44"/>
        <v>Kiểm tra loại nhà</v>
      </c>
      <c r="P110" s="37" t="s">
        <v>327</v>
      </c>
      <c r="R110" s="10">
        <f t="shared" si="45"/>
        <v>7</v>
      </c>
      <c r="T110" s="43" t="str">
        <f>IFERROR(VLOOKUP(U110,#REF!,2,0),"")</f>
        <v/>
      </c>
      <c r="V110" s="43" t="str">
        <f t="shared" ca="1" si="28"/>
        <v/>
      </c>
      <c r="Y110" s="43" t="str">
        <f t="shared" ca="1" si="29"/>
        <v/>
      </c>
      <c r="Z110" s="39" t="str">
        <f>IFERROR(VLOOKUP(AA110,#REF!,2,0),"")</f>
        <v/>
      </c>
      <c r="AB110" s="14" t="s">
        <v>330</v>
      </c>
      <c r="AD110" s="43" t="str">
        <f t="shared" ca="1" si="30"/>
        <v/>
      </c>
      <c r="AI110" s="43" t="str">
        <f t="shared" ca="1" si="31"/>
        <v/>
      </c>
      <c r="AN110" s="49" t="e">
        <f t="shared" si="32"/>
        <v>#VALUE!</v>
      </c>
      <c r="BA110" s="12" t="str">
        <f t="shared" si="33"/>
        <v>chưa PS</v>
      </c>
      <c r="BD110" s="12">
        <f t="shared" ca="1" si="38"/>
        <v>43150</v>
      </c>
      <c r="BF110" s="12">
        <f t="shared" ca="1" si="39"/>
        <v>43150</v>
      </c>
      <c r="BG110" s="9" t="str">
        <f t="shared" ca="1" si="40"/>
        <v>Trong hạn</v>
      </c>
      <c r="BH110" s="9"/>
      <c r="BI110" s="9"/>
      <c r="BJ110" s="9"/>
      <c r="BK110" s="9"/>
    </row>
    <row r="111" spans="2:63" x14ac:dyDescent="0.25">
      <c r="B111" s="9" t="str">
        <f t="shared" si="24"/>
        <v>KTM</v>
      </c>
      <c r="C111" s="17" t="s">
        <v>230</v>
      </c>
      <c r="F111" s="37" t="s">
        <v>16</v>
      </c>
      <c r="J111" s="9">
        <v>18</v>
      </c>
      <c r="L111" s="39" t="str">
        <f t="shared" si="41"/>
        <v>Kiểm tra lại lại trạm và địa hình</v>
      </c>
      <c r="M111" s="39" t="str">
        <f t="shared" si="42"/>
        <v>Kiểm tra loại cột</v>
      </c>
      <c r="N111" s="39" t="str">
        <f t="shared" si="43"/>
        <v>Kiểm tra loại cột</v>
      </c>
      <c r="O111" s="39" t="str">
        <f t="shared" si="44"/>
        <v>Kiểm tra loại nhà</v>
      </c>
      <c r="P111" s="37" t="s">
        <v>327</v>
      </c>
      <c r="R111" s="10">
        <f t="shared" si="45"/>
        <v>7</v>
      </c>
      <c r="T111" s="43" t="str">
        <f>IFERROR(VLOOKUP(U111,#REF!,2,0),"")</f>
        <v/>
      </c>
      <c r="V111" s="43" t="str">
        <f t="shared" ca="1" si="28"/>
        <v/>
      </c>
      <c r="Y111" s="43" t="str">
        <f t="shared" ca="1" si="29"/>
        <v/>
      </c>
      <c r="Z111" s="39" t="str">
        <f>IFERROR(VLOOKUP(AA111,#REF!,2,0),"")</f>
        <v/>
      </c>
      <c r="AB111" s="14" t="s">
        <v>330</v>
      </c>
      <c r="AD111" s="43" t="str">
        <f t="shared" ca="1" si="30"/>
        <v/>
      </c>
      <c r="AI111" s="43" t="str">
        <f t="shared" ca="1" si="31"/>
        <v/>
      </c>
      <c r="AN111" s="49" t="e">
        <f t="shared" si="32"/>
        <v>#VALUE!</v>
      </c>
      <c r="BA111" s="12" t="str">
        <f t="shared" si="33"/>
        <v>chưa PS</v>
      </c>
      <c r="BD111" s="12">
        <f t="shared" ca="1" si="38"/>
        <v>43150</v>
      </c>
      <c r="BF111" s="12">
        <f t="shared" ca="1" si="39"/>
        <v>43150</v>
      </c>
      <c r="BG111" s="9" t="str">
        <f t="shared" ca="1" si="40"/>
        <v>Trong hạn</v>
      </c>
      <c r="BH111" s="9"/>
      <c r="BI111" s="9"/>
      <c r="BJ111" s="9"/>
      <c r="BK111" s="9"/>
    </row>
    <row r="112" spans="2:63" x14ac:dyDescent="0.25">
      <c r="B112" s="9" t="str">
        <f t="shared" si="24"/>
        <v>NTN</v>
      </c>
      <c r="C112" s="21" t="s">
        <v>231</v>
      </c>
      <c r="F112" s="37" t="s">
        <v>15</v>
      </c>
      <c r="J112" s="9">
        <v>18</v>
      </c>
      <c r="L112" s="39" t="str">
        <f t="shared" si="41"/>
        <v>Kiểm tra lại lại trạm và địa hình</v>
      </c>
      <c r="M112" s="39" t="str">
        <f t="shared" si="42"/>
        <v>Kiểm tra loại cột</v>
      </c>
      <c r="N112" s="39" t="str">
        <f t="shared" si="43"/>
        <v>Kiểm tra loại cột</v>
      </c>
      <c r="O112" s="39" t="str">
        <f t="shared" si="44"/>
        <v>Kiểm tra loại nhà</v>
      </c>
      <c r="P112" s="37" t="s">
        <v>327</v>
      </c>
      <c r="T112" s="43" t="str">
        <f>IFERROR(VLOOKUP(U112,#REF!,2,0),"")</f>
        <v/>
      </c>
      <c r="V112" s="43" t="str">
        <f t="shared" ca="1" si="28"/>
        <v/>
      </c>
      <c r="Y112" s="43" t="str">
        <f t="shared" ca="1" si="29"/>
        <v/>
      </c>
      <c r="Z112" s="39" t="str">
        <f>IFERROR(VLOOKUP(AA112,#REF!,2,0),"")</f>
        <v/>
      </c>
      <c r="AB112" s="14"/>
      <c r="AD112" s="43" t="str">
        <f t="shared" ca="1" si="30"/>
        <v/>
      </c>
      <c r="AI112" s="43" t="str">
        <f t="shared" ca="1" si="31"/>
        <v/>
      </c>
      <c r="AN112" s="49" t="e">
        <f t="shared" si="32"/>
        <v>#VALUE!</v>
      </c>
      <c r="BA112" s="12" t="str">
        <f t="shared" si="33"/>
        <v>chưa PS</v>
      </c>
      <c r="BD112" s="12">
        <f t="shared" ca="1" si="38"/>
        <v>43150</v>
      </c>
      <c r="BF112" s="12">
        <f t="shared" ca="1" si="39"/>
        <v>43150</v>
      </c>
      <c r="BG112" s="9" t="str">
        <f t="shared" ca="1" si="40"/>
        <v>Trong hạn</v>
      </c>
      <c r="BH112" s="9"/>
      <c r="BI112" s="9"/>
      <c r="BJ112" s="9"/>
      <c r="BK112" s="9"/>
    </row>
    <row r="113" spans="2:63" x14ac:dyDescent="0.25">
      <c r="B113" s="9" t="str">
        <f t="shared" si="24"/>
        <v>NTN</v>
      </c>
      <c r="C113" s="22" t="s">
        <v>232</v>
      </c>
      <c r="F113" s="37" t="s">
        <v>15</v>
      </c>
      <c r="J113" s="9">
        <v>36</v>
      </c>
      <c r="L113" s="39" t="str">
        <f t="shared" si="41"/>
        <v>Kiểm tra lại lại trạm và địa hình</v>
      </c>
      <c r="M113" s="39" t="str">
        <f t="shared" si="42"/>
        <v>Kiểm tra loại cột</v>
      </c>
      <c r="N113" s="39" t="str">
        <f t="shared" si="43"/>
        <v>Kiểm tra loại cột</v>
      </c>
      <c r="O113" s="39" t="str">
        <f t="shared" si="44"/>
        <v>Kiểm tra loại nhà</v>
      </c>
      <c r="P113" s="37" t="s">
        <v>327</v>
      </c>
      <c r="T113" s="43" t="str">
        <f>IFERROR(VLOOKUP(U113,#REF!,2,0),"")</f>
        <v/>
      </c>
      <c r="V113" s="43" t="str">
        <f t="shared" ca="1" si="28"/>
        <v/>
      </c>
      <c r="Y113" s="43" t="str">
        <f t="shared" ca="1" si="29"/>
        <v/>
      </c>
      <c r="Z113" s="39" t="str">
        <f>IFERROR(VLOOKUP(AA113,#REF!,2,0),"")</f>
        <v/>
      </c>
      <c r="AB113" s="14"/>
      <c r="AD113" s="43" t="str">
        <f t="shared" ca="1" si="30"/>
        <v/>
      </c>
      <c r="AI113" s="43" t="str">
        <f t="shared" ca="1" si="31"/>
        <v/>
      </c>
      <c r="AN113" s="49" t="e">
        <f t="shared" si="32"/>
        <v>#VALUE!</v>
      </c>
      <c r="BA113" s="12" t="str">
        <f t="shared" si="33"/>
        <v>chưa PS</v>
      </c>
      <c r="BD113" s="12">
        <f t="shared" ca="1" si="38"/>
        <v>43150</v>
      </c>
      <c r="BF113" s="12">
        <f t="shared" ca="1" si="39"/>
        <v>43150</v>
      </c>
      <c r="BG113" s="9" t="str">
        <f t="shared" ca="1" si="40"/>
        <v>Trong hạn</v>
      </c>
      <c r="BH113" s="9"/>
      <c r="BI113" s="9"/>
      <c r="BJ113" s="9"/>
      <c r="BK113" s="9"/>
    </row>
    <row r="114" spans="2:63" x14ac:dyDescent="0.25">
      <c r="B114" s="9" t="str">
        <f t="shared" si="24"/>
        <v>NTN</v>
      </c>
      <c r="C114" s="18" t="s">
        <v>233</v>
      </c>
      <c r="F114" s="37" t="s">
        <v>16</v>
      </c>
      <c r="J114" s="9">
        <v>18</v>
      </c>
      <c r="L114" s="39" t="str">
        <f t="shared" si="41"/>
        <v>Kiểm tra lại lại trạm và địa hình</v>
      </c>
      <c r="M114" s="39" t="str">
        <f t="shared" si="42"/>
        <v>Kiểm tra loại cột</v>
      </c>
      <c r="N114" s="39" t="str">
        <f t="shared" si="43"/>
        <v>Kiểm tra loại cột</v>
      </c>
      <c r="O114" s="39" t="str">
        <f t="shared" si="44"/>
        <v>Kiểm tra loại nhà</v>
      </c>
      <c r="P114" s="37" t="s">
        <v>327</v>
      </c>
      <c r="T114" s="43" t="str">
        <f>IFERROR(VLOOKUP(U114,#REF!,2,0),"")</f>
        <v/>
      </c>
      <c r="V114" s="43" t="str">
        <f t="shared" ca="1" si="28"/>
        <v/>
      </c>
      <c r="Y114" s="43" t="str">
        <f t="shared" ca="1" si="29"/>
        <v/>
      </c>
      <c r="Z114" s="39" t="str">
        <f>IFERROR(VLOOKUP(AA114,#REF!,2,0),"")</f>
        <v/>
      </c>
      <c r="AB114" s="14"/>
      <c r="AD114" s="43" t="str">
        <f t="shared" ca="1" si="30"/>
        <v/>
      </c>
      <c r="AI114" s="43" t="str">
        <f t="shared" ca="1" si="31"/>
        <v/>
      </c>
      <c r="AN114" s="49" t="e">
        <f t="shared" si="32"/>
        <v>#VALUE!</v>
      </c>
      <c r="BA114" s="12" t="str">
        <f t="shared" si="33"/>
        <v>chưa PS</v>
      </c>
      <c r="BD114" s="12">
        <f t="shared" ca="1" si="38"/>
        <v>43150</v>
      </c>
      <c r="BF114" s="12">
        <f t="shared" ca="1" si="39"/>
        <v>43150</v>
      </c>
      <c r="BG114" s="9" t="str">
        <f t="shared" ca="1" si="40"/>
        <v>Trong hạn</v>
      </c>
      <c r="BH114" s="9"/>
      <c r="BI114" s="9"/>
      <c r="BJ114" s="9"/>
      <c r="BK114" s="9"/>
    </row>
    <row r="115" spans="2:63" x14ac:dyDescent="0.25">
      <c r="B115" s="9" t="str">
        <f t="shared" si="24"/>
        <v>NTN</v>
      </c>
      <c r="C115" s="18" t="s">
        <v>234</v>
      </c>
      <c r="F115" s="37" t="s">
        <v>15</v>
      </c>
      <c r="J115" s="9">
        <v>36</v>
      </c>
      <c r="L115" s="39" t="str">
        <f t="shared" si="41"/>
        <v>Kiểm tra lại lại trạm và địa hình</v>
      </c>
      <c r="M115" s="39" t="str">
        <f t="shared" si="42"/>
        <v>Kiểm tra loại cột</v>
      </c>
      <c r="N115" s="39" t="str">
        <f t="shared" si="43"/>
        <v>Kiểm tra loại cột</v>
      </c>
      <c r="O115" s="39" t="str">
        <f t="shared" si="44"/>
        <v>Kiểm tra loại nhà</v>
      </c>
      <c r="P115" s="37" t="s">
        <v>327</v>
      </c>
      <c r="R115" s="10">
        <f>Q115+7</f>
        <v>7</v>
      </c>
      <c r="T115" s="43" t="str">
        <f>IFERROR(VLOOKUP(U115,#REF!,2,0),"")</f>
        <v/>
      </c>
      <c r="V115" s="43" t="str">
        <f t="shared" ca="1" si="28"/>
        <v/>
      </c>
      <c r="Y115" s="43" t="str">
        <f t="shared" ca="1" si="29"/>
        <v/>
      </c>
      <c r="Z115" s="39" t="str">
        <f>IFERROR(VLOOKUP(AA115,#REF!,2,0),"")</f>
        <v/>
      </c>
      <c r="AB115" s="14" t="s">
        <v>330</v>
      </c>
      <c r="AD115" s="43" t="str">
        <f t="shared" ca="1" si="30"/>
        <v/>
      </c>
      <c r="AI115" s="43" t="str">
        <f t="shared" ca="1" si="31"/>
        <v/>
      </c>
      <c r="AN115" s="49" t="e">
        <f t="shared" si="32"/>
        <v>#VALUE!</v>
      </c>
      <c r="BA115" s="12" t="str">
        <f t="shared" si="33"/>
        <v>chưa PS</v>
      </c>
      <c r="BD115" s="12">
        <f t="shared" ca="1" si="38"/>
        <v>43150</v>
      </c>
      <c r="BF115" s="12">
        <f t="shared" ca="1" si="39"/>
        <v>43150</v>
      </c>
      <c r="BG115" s="9" t="str">
        <f t="shared" ca="1" si="40"/>
        <v>Trong hạn</v>
      </c>
      <c r="BH115" s="9"/>
      <c r="BI115" s="9"/>
      <c r="BJ115" s="9"/>
      <c r="BK115" s="9"/>
    </row>
    <row r="116" spans="2:63" x14ac:dyDescent="0.25">
      <c r="B116" s="9" t="str">
        <f t="shared" si="24"/>
        <v>NTN</v>
      </c>
      <c r="C116" s="18" t="s">
        <v>235</v>
      </c>
      <c r="F116" s="37" t="s">
        <v>16</v>
      </c>
      <c r="J116" s="9">
        <v>36</v>
      </c>
      <c r="L116" s="39" t="str">
        <f t="shared" si="41"/>
        <v>Kiểm tra lại lại trạm và địa hình</v>
      </c>
      <c r="M116" s="39" t="str">
        <f t="shared" si="42"/>
        <v>Kiểm tra loại cột</v>
      </c>
      <c r="N116" s="39" t="str">
        <f t="shared" si="43"/>
        <v>Kiểm tra loại cột</v>
      </c>
      <c r="O116" s="39" t="str">
        <f t="shared" si="44"/>
        <v>Kiểm tra loại nhà</v>
      </c>
      <c r="P116" s="37" t="s">
        <v>327</v>
      </c>
      <c r="T116" s="43" t="str">
        <f>IFERROR(VLOOKUP(U116,#REF!,2,0),"")</f>
        <v/>
      </c>
      <c r="V116" s="43" t="str">
        <f t="shared" ca="1" si="28"/>
        <v/>
      </c>
      <c r="Y116" s="43" t="str">
        <f t="shared" ca="1" si="29"/>
        <v/>
      </c>
      <c r="Z116" s="39" t="str">
        <f>IFERROR(VLOOKUP(AA116,#REF!,2,0),"")</f>
        <v/>
      </c>
      <c r="AB116" s="14"/>
      <c r="AD116" s="43" t="str">
        <f t="shared" ca="1" si="30"/>
        <v/>
      </c>
      <c r="AI116" s="43" t="str">
        <f t="shared" ca="1" si="31"/>
        <v/>
      </c>
      <c r="AN116" s="49" t="e">
        <f t="shared" si="32"/>
        <v>#VALUE!</v>
      </c>
      <c r="BA116" s="12" t="str">
        <f t="shared" si="33"/>
        <v>chưa PS</v>
      </c>
      <c r="BD116" s="12">
        <f t="shared" ca="1" si="38"/>
        <v>43150</v>
      </c>
      <c r="BF116" s="12">
        <f t="shared" ca="1" si="39"/>
        <v>43150</v>
      </c>
      <c r="BG116" s="9" t="str">
        <f t="shared" ca="1" si="40"/>
        <v>Trong hạn</v>
      </c>
      <c r="BH116" s="9"/>
      <c r="BI116" s="9"/>
      <c r="BJ116" s="9"/>
      <c r="BK116" s="9"/>
    </row>
    <row r="117" spans="2:63" x14ac:dyDescent="0.25">
      <c r="B117" s="9" t="str">
        <f t="shared" si="24"/>
        <v>NTN</v>
      </c>
      <c r="C117" s="19" t="s">
        <v>236</v>
      </c>
      <c r="F117" s="37" t="s">
        <v>15</v>
      </c>
      <c r="J117" s="9">
        <v>42</v>
      </c>
      <c r="L117" s="39" t="str">
        <f t="shared" si="41"/>
        <v>Kiểm tra lại lại trạm và địa hình</v>
      </c>
      <c r="M117" s="39" t="str">
        <f t="shared" si="42"/>
        <v>Kiểm tra loại cột</v>
      </c>
      <c r="N117" s="39" t="str">
        <f t="shared" si="43"/>
        <v>Kiểm tra loại cột</v>
      </c>
      <c r="O117" s="39" t="str">
        <f t="shared" si="44"/>
        <v>Kiểm tra loại nhà</v>
      </c>
      <c r="P117" s="37" t="s">
        <v>327</v>
      </c>
      <c r="T117" s="43" t="str">
        <f>IFERROR(VLOOKUP(U117,#REF!,2,0),"")</f>
        <v/>
      </c>
      <c r="V117" s="43" t="str">
        <f t="shared" ca="1" si="28"/>
        <v/>
      </c>
      <c r="Y117" s="43" t="str">
        <f t="shared" ca="1" si="29"/>
        <v/>
      </c>
      <c r="Z117" s="39" t="str">
        <f>IFERROR(VLOOKUP(AA117,#REF!,2,0),"")</f>
        <v/>
      </c>
      <c r="AB117" s="14"/>
      <c r="AD117" s="43" t="str">
        <f t="shared" ca="1" si="30"/>
        <v/>
      </c>
      <c r="AI117" s="43" t="str">
        <f t="shared" ca="1" si="31"/>
        <v/>
      </c>
      <c r="AN117" s="49" t="e">
        <f t="shared" si="32"/>
        <v>#VALUE!</v>
      </c>
      <c r="BA117" s="12" t="str">
        <f t="shared" si="33"/>
        <v>chưa PS</v>
      </c>
      <c r="BD117" s="12">
        <f t="shared" ca="1" si="38"/>
        <v>43150</v>
      </c>
      <c r="BF117" s="12">
        <f t="shared" ca="1" si="39"/>
        <v>43150</v>
      </c>
      <c r="BG117" s="9" t="str">
        <f t="shared" ca="1" si="40"/>
        <v>Trong hạn</v>
      </c>
      <c r="BH117" s="9"/>
      <c r="BI117" s="9"/>
      <c r="BJ117" s="9"/>
      <c r="BK117" s="9"/>
    </row>
    <row r="118" spans="2:63" x14ac:dyDescent="0.25">
      <c r="B118" s="9" t="str">
        <f t="shared" si="24"/>
        <v>QNM</v>
      </c>
      <c r="C118" s="17" t="s">
        <v>237</v>
      </c>
      <c r="F118" s="37" t="s">
        <v>17</v>
      </c>
      <c r="J118" s="9">
        <v>10</v>
      </c>
      <c r="L118" s="39" t="str">
        <f t="shared" si="41"/>
        <v>Kiểm tra lại lại trạm và địa hình</v>
      </c>
      <c r="M118" s="39" t="str">
        <f t="shared" si="42"/>
        <v>Kiểm tra loại cột</v>
      </c>
      <c r="N118" s="39" t="str">
        <f t="shared" si="43"/>
        <v>Kiểm tra loại cột</v>
      </c>
      <c r="O118" s="39" t="str">
        <f t="shared" si="44"/>
        <v>Kiểm tra loại nhà</v>
      </c>
      <c r="P118" s="37" t="s">
        <v>327</v>
      </c>
      <c r="T118" s="43" t="str">
        <f>IFERROR(VLOOKUP(U118,#REF!,2,0),"")</f>
        <v/>
      </c>
      <c r="V118" s="43" t="str">
        <f t="shared" ca="1" si="28"/>
        <v/>
      </c>
      <c r="Y118" s="43" t="str">
        <f t="shared" ca="1" si="29"/>
        <v/>
      </c>
      <c r="Z118" s="39" t="str">
        <f>IFERROR(VLOOKUP(AA118,#REF!,2,0),"")</f>
        <v/>
      </c>
      <c r="AB118" s="14"/>
      <c r="AD118" s="43" t="str">
        <f t="shared" ca="1" si="30"/>
        <v/>
      </c>
      <c r="AI118" s="43" t="str">
        <f t="shared" ca="1" si="31"/>
        <v/>
      </c>
      <c r="AN118" s="49" t="e">
        <f t="shared" si="32"/>
        <v>#VALUE!</v>
      </c>
      <c r="BA118" s="12" t="str">
        <f t="shared" si="33"/>
        <v>chưa PS</v>
      </c>
      <c r="BD118" s="12">
        <f t="shared" ca="1" si="38"/>
        <v>43150</v>
      </c>
      <c r="BF118" s="12">
        <f t="shared" ca="1" si="39"/>
        <v>43150</v>
      </c>
      <c r="BG118" s="9" t="str">
        <f t="shared" ca="1" si="40"/>
        <v>Trong hạn</v>
      </c>
      <c r="BH118" s="9"/>
      <c r="BI118" s="9"/>
      <c r="BJ118" s="9"/>
      <c r="BK118" s="9"/>
    </row>
    <row r="119" spans="2:63" x14ac:dyDescent="0.25">
      <c r="B119" s="9" t="str">
        <f t="shared" si="24"/>
        <v>QNM</v>
      </c>
      <c r="C119" s="19" t="s">
        <v>238</v>
      </c>
      <c r="F119" s="37" t="s">
        <v>17</v>
      </c>
      <c r="J119" s="9">
        <v>10</v>
      </c>
      <c r="L119" s="39" t="str">
        <f t="shared" si="41"/>
        <v>Kiểm tra lại lại trạm và địa hình</v>
      </c>
      <c r="M119" s="39" t="str">
        <f t="shared" si="42"/>
        <v>Kiểm tra loại cột</v>
      </c>
      <c r="N119" s="39" t="str">
        <f t="shared" si="43"/>
        <v>Kiểm tra loại cột</v>
      </c>
      <c r="O119" s="39" t="str">
        <f t="shared" si="44"/>
        <v>Kiểm tra loại nhà</v>
      </c>
      <c r="P119" s="37" t="s">
        <v>327</v>
      </c>
      <c r="T119" s="43" t="str">
        <f>IFERROR(VLOOKUP(U119,#REF!,2,0),"")</f>
        <v/>
      </c>
      <c r="V119" s="43" t="str">
        <f t="shared" ca="1" si="28"/>
        <v/>
      </c>
      <c r="Y119" s="43" t="str">
        <f t="shared" ca="1" si="29"/>
        <v/>
      </c>
      <c r="Z119" s="39" t="str">
        <f>IFERROR(VLOOKUP(AA119,#REF!,2,0),"")</f>
        <v/>
      </c>
      <c r="AB119" s="14"/>
      <c r="AD119" s="43" t="str">
        <f t="shared" ca="1" si="30"/>
        <v/>
      </c>
      <c r="AI119" s="43" t="str">
        <f t="shared" ca="1" si="31"/>
        <v/>
      </c>
      <c r="AN119" s="49" t="e">
        <f t="shared" si="32"/>
        <v>#VALUE!</v>
      </c>
      <c r="BA119" s="12" t="str">
        <f t="shared" si="33"/>
        <v>chưa PS</v>
      </c>
      <c r="BD119" s="12">
        <f t="shared" ca="1" si="38"/>
        <v>43150</v>
      </c>
      <c r="BF119" s="12">
        <f t="shared" ca="1" si="39"/>
        <v>43150</v>
      </c>
      <c r="BG119" s="9" t="str">
        <f t="shared" ca="1" si="40"/>
        <v>Trong hạn</v>
      </c>
      <c r="BH119" s="9"/>
      <c r="BI119" s="9"/>
      <c r="BJ119" s="9"/>
      <c r="BK119" s="9"/>
    </row>
    <row r="120" spans="2:63" x14ac:dyDescent="0.25">
      <c r="B120" s="9" t="str">
        <f t="shared" si="24"/>
        <v>QNM</v>
      </c>
      <c r="C120" s="17" t="s">
        <v>239</v>
      </c>
      <c r="F120" s="37" t="s">
        <v>15</v>
      </c>
      <c r="J120" s="9">
        <v>18</v>
      </c>
      <c r="L120" s="39" t="str">
        <f t="shared" si="41"/>
        <v>Kiểm tra lại lại trạm và địa hình</v>
      </c>
      <c r="M120" s="39" t="str">
        <f t="shared" si="42"/>
        <v>Kiểm tra loại cột</v>
      </c>
      <c r="N120" s="39" t="str">
        <f t="shared" si="43"/>
        <v>Kiểm tra loại cột</v>
      </c>
      <c r="O120" s="39" t="str">
        <f t="shared" si="44"/>
        <v>Kiểm tra loại nhà</v>
      </c>
      <c r="P120" s="37" t="s">
        <v>327</v>
      </c>
      <c r="T120" s="43" t="str">
        <f>IFERROR(VLOOKUP(U120,#REF!,2,0),"")</f>
        <v/>
      </c>
      <c r="V120" s="43" t="str">
        <f t="shared" ca="1" si="28"/>
        <v/>
      </c>
      <c r="Y120" s="43" t="str">
        <f t="shared" ca="1" si="29"/>
        <v/>
      </c>
      <c r="Z120" s="39" t="str">
        <f>IFERROR(VLOOKUP(AA120,#REF!,2,0),"")</f>
        <v/>
      </c>
      <c r="AB120" s="14"/>
      <c r="AD120" s="43" t="str">
        <f t="shared" ca="1" si="30"/>
        <v/>
      </c>
      <c r="AI120" s="43" t="str">
        <f t="shared" ca="1" si="31"/>
        <v/>
      </c>
      <c r="AN120" s="49" t="e">
        <f t="shared" si="32"/>
        <v>#VALUE!</v>
      </c>
      <c r="BA120" s="12" t="str">
        <f t="shared" si="33"/>
        <v>chưa PS</v>
      </c>
      <c r="BD120" s="12">
        <f t="shared" ca="1" si="38"/>
        <v>43150</v>
      </c>
      <c r="BF120" s="12">
        <f t="shared" ca="1" si="39"/>
        <v>43150</v>
      </c>
      <c r="BG120" s="9" t="str">
        <f t="shared" ca="1" si="40"/>
        <v>Trong hạn</v>
      </c>
      <c r="BH120" s="9"/>
      <c r="BI120" s="9"/>
      <c r="BJ120" s="9"/>
      <c r="BK120" s="9"/>
    </row>
    <row r="121" spans="2:63" x14ac:dyDescent="0.25">
      <c r="B121" s="9" t="str">
        <f t="shared" si="24"/>
        <v>QNM</v>
      </c>
      <c r="C121" s="17" t="s">
        <v>240</v>
      </c>
      <c r="F121" s="37" t="s">
        <v>15</v>
      </c>
      <c r="J121" s="9">
        <v>42</v>
      </c>
      <c r="L121" s="39" t="str">
        <f t="shared" si="41"/>
        <v>Kiểm tra lại lại trạm và địa hình</v>
      </c>
      <c r="M121" s="39" t="str">
        <f t="shared" si="42"/>
        <v>Kiểm tra loại cột</v>
      </c>
      <c r="N121" s="39" t="str">
        <f t="shared" si="43"/>
        <v>Kiểm tra loại cột</v>
      </c>
      <c r="O121" s="39" t="str">
        <f t="shared" si="44"/>
        <v>Kiểm tra loại nhà</v>
      </c>
      <c r="P121" s="37" t="s">
        <v>327</v>
      </c>
      <c r="T121" s="43" t="str">
        <f>IFERROR(VLOOKUP(U121,#REF!,2,0),"")</f>
        <v/>
      </c>
      <c r="V121" s="43" t="str">
        <f t="shared" ca="1" si="28"/>
        <v/>
      </c>
      <c r="Y121" s="43" t="str">
        <f t="shared" ca="1" si="29"/>
        <v/>
      </c>
      <c r="Z121" s="39" t="str">
        <f>IFERROR(VLOOKUP(AA121,#REF!,2,0),"")</f>
        <v/>
      </c>
      <c r="AB121" s="14"/>
      <c r="AD121" s="43" t="str">
        <f t="shared" ca="1" si="30"/>
        <v/>
      </c>
      <c r="AI121" s="43" t="str">
        <f t="shared" ca="1" si="31"/>
        <v/>
      </c>
      <c r="AN121" s="49" t="e">
        <f t="shared" si="32"/>
        <v>#VALUE!</v>
      </c>
      <c r="BA121" s="12" t="str">
        <f t="shared" si="33"/>
        <v>chưa PS</v>
      </c>
      <c r="BD121" s="12">
        <f t="shared" ca="1" si="38"/>
        <v>43150</v>
      </c>
      <c r="BF121" s="12">
        <f t="shared" ca="1" si="39"/>
        <v>43150</v>
      </c>
      <c r="BG121" s="9" t="str">
        <f t="shared" ca="1" si="40"/>
        <v>Trong hạn</v>
      </c>
      <c r="BH121" s="9"/>
      <c r="BI121" s="9"/>
      <c r="BJ121" s="9"/>
      <c r="BK121" s="9"/>
    </row>
    <row r="122" spans="2:63" x14ac:dyDescent="0.25">
      <c r="B122" s="9" t="str">
        <f t="shared" si="24"/>
        <v>QNM</v>
      </c>
      <c r="C122" s="17" t="s">
        <v>241</v>
      </c>
      <c r="F122" s="37" t="s">
        <v>17</v>
      </c>
      <c r="J122" s="9">
        <v>30</v>
      </c>
      <c r="L122" s="39" t="str">
        <f t="shared" si="41"/>
        <v>Kiểm tra lại lại trạm và địa hình</v>
      </c>
      <c r="M122" s="39" t="str">
        <f t="shared" si="42"/>
        <v>Kiểm tra loại cột</v>
      </c>
      <c r="N122" s="39" t="str">
        <f t="shared" si="43"/>
        <v>Kiểm tra loại cột</v>
      </c>
      <c r="O122" s="39" t="str">
        <f t="shared" si="44"/>
        <v>Kiểm tra loại nhà</v>
      </c>
      <c r="P122" s="37" t="s">
        <v>327</v>
      </c>
      <c r="T122" s="43" t="str">
        <f>IFERROR(VLOOKUP(U122,#REF!,2,0),"")</f>
        <v/>
      </c>
      <c r="V122" s="43" t="str">
        <f t="shared" ca="1" si="28"/>
        <v/>
      </c>
      <c r="Y122" s="43" t="str">
        <f t="shared" ca="1" si="29"/>
        <v/>
      </c>
      <c r="Z122" s="39" t="str">
        <f>IFERROR(VLOOKUP(AA122,#REF!,2,0),"")</f>
        <v/>
      </c>
      <c r="AB122" s="14"/>
      <c r="AD122" s="43" t="str">
        <f t="shared" ca="1" si="30"/>
        <v/>
      </c>
      <c r="AI122" s="43" t="str">
        <f t="shared" ca="1" si="31"/>
        <v/>
      </c>
      <c r="AN122" s="49" t="e">
        <f t="shared" si="32"/>
        <v>#VALUE!</v>
      </c>
      <c r="BA122" s="12" t="str">
        <f t="shared" si="33"/>
        <v>chưa PS</v>
      </c>
      <c r="BD122" s="12">
        <f t="shared" ca="1" si="38"/>
        <v>43150</v>
      </c>
      <c r="BF122" s="12">
        <f t="shared" ca="1" si="39"/>
        <v>43150</v>
      </c>
      <c r="BG122" s="9" t="str">
        <f t="shared" ca="1" si="40"/>
        <v>Trong hạn</v>
      </c>
      <c r="BH122" s="9"/>
      <c r="BI122" s="9"/>
      <c r="BJ122" s="9"/>
      <c r="BK122" s="9"/>
    </row>
    <row r="123" spans="2:63" x14ac:dyDescent="0.25">
      <c r="B123" s="9" t="str">
        <f t="shared" si="24"/>
        <v>QNM</v>
      </c>
      <c r="C123" s="17" t="s">
        <v>242</v>
      </c>
      <c r="F123" s="37" t="s">
        <v>15</v>
      </c>
      <c r="J123" s="9">
        <v>36</v>
      </c>
      <c r="L123" s="39" t="str">
        <f t="shared" si="41"/>
        <v>Kiểm tra lại lại trạm và địa hình</v>
      </c>
      <c r="M123" s="39" t="str">
        <f t="shared" si="42"/>
        <v>Kiểm tra loại cột</v>
      </c>
      <c r="N123" s="39" t="str">
        <f t="shared" si="43"/>
        <v>Kiểm tra loại cột</v>
      </c>
      <c r="O123" s="39" t="str">
        <f t="shared" si="44"/>
        <v>Kiểm tra loại nhà</v>
      </c>
      <c r="P123" s="37" t="s">
        <v>327</v>
      </c>
      <c r="T123" s="43" t="str">
        <f>IFERROR(VLOOKUP(U123,#REF!,2,0),"")</f>
        <v/>
      </c>
      <c r="V123" s="43" t="str">
        <f t="shared" ca="1" si="28"/>
        <v/>
      </c>
      <c r="Y123" s="43" t="str">
        <f t="shared" ca="1" si="29"/>
        <v/>
      </c>
      <c r="Z123" s="39" t="str">
        <f>IFERROR(VLOOKUP(AA123,#REF!,2,0),"")</f>
        <v/>
      </c>
      <c r="AB123" s="14"/>
      <c r="AD123" s="43" t="str">
        <f t="shared" ca="1" si="30"/>
        <v/>
      </c>
      <c r="AI123" s="43" t="str">
        <f t="shared" ca="1" si="31"/>
        <v/>
      </c>
      <c r="AN123" s="49" t="e">
        <f t="shared" si="32"/>
        <v>#VALUE!</v>
      </c>
      <c r="BA123" s="12" t="str">
        <f t="shared" si="33"/>
        <v>chưa PS</v>
      </c>
      <c r="BD123" s="12">
        <f t="shared" ca="1" si="38"/>
        <v>43150</v>
      </c>
      <c r="BF123" s="12">
        <f t="shared" ca="1" si="39"/>
        <v>43150</v>
      </c>
      <c r="BG123" s="9" t="str">
        <f t="shared" ca="1" si="40"/>
        <v>Trong hạn</v>
      </c>
      <c r="BH123" s="9"/>
      <c r="BI123" s="9"/>
      <c r="BJ123" s="9"/>
      <c r="BK123" s="9"/>
    </row>
    <row r="124" spans="2:63" ht="24" x14ac:dyDescent="0.25">
      <c r="B124" s="9" t="str">
        <f t="shared" si="24"/>
        <v>NTN</v>
      </c>
      <c r="C124" s="22" t="s">
        <v>243</v>
      </c>
      <c r="D124" s="22" t="s">
        <v>302</v>
      </c>
      <c r="F124" s="37" t="s">
        <v>329</v>
      </c>
      <c r="I124" s="37" t="s">
        <v>18</v>
      </c>
      <c r="J124" s="9">
        <v>18</v>
      </c>
      <c r="K124" s="37" t="s">
        <v>215</v>
      </c>
      <c r="L124" s="39" t="str">
        <f t="shared" si="41"/>
        <v>Kiểm tra lại lại trạm và địa hình</v>
      </c>
      <c r="M124" s="39">
        <f t="shared" si="42"/>
        <v>7</v>
      </c>
      <c r="N124" s="39">
        <f t="shared" si="43"/>
        <v>10</v>
      </c>
      <c r="O124" s="39" t="str">
        <f t="shared" si="44"/>
        <v>Kiểm tra loại nhà</v>
      </c>
      <c r="P124" s="37" t="s">
        <v>328</v>
      </c>
      <c r="R124" s="10"/>
      <c r="T124" s="43" t="str">
        <f>IFERROR(VLOOKUP(U124,#REF!,2,0),"")</f>
        <v/>
      </c>
      <c r="V124" s="43" t="str">
        <f t="shared" ca="1" si="28"/>
        <v/>
      </c>
      <c r="Y124" s="43" t="str">
        <f t="shared" ca="1" si="29"/>
        <v/>
      </c>
      <c r="Z124" s="39" t="str">
        <f>IFERROR(VLOOKUP(AA124,#REF!,2,0),"")</f>
        <v/>
      </c>
      <c r="AB124" s="14"/>
      <c r="AD124" s="43" t="str">
        <f t="shared" ca="1" si="30"/>
        <v>Quá hạn</v>
      </c>
      <c r="AI124" s="43" t="str">
        <f t="shared" ca="1" si="31"/>
        <v/>
      </c>
      <c r="AN124" s="49" t="e">
        <f t="shared" si="32"/>
        <v>#VALUE!</v>
      </c>
      <c r="BA124" s="12" t="str">
        <f t="shared" si="33"/>
        <v>chưa PS</v>
      </c>
      <c r="BD124" s="12">
        <f t="shared" ca="1" si="38"/>
        <v>43150</v>
      </c>
      <c r="BF124" s="12">
        <f t="shared" ca="1" si="39"/>
        <v>43150</v>
      </c>
      <c r="BG124" s="9" t="str">
        <f t="shared" ca="1" si="40"/>
        <v>Trong hạn</v>
      </c>
      <c r="BH124" s="9"/>
      <c r="BI124" s="9"/>
      <c r="BJ124" s="9"/>
      <c r="BK124" s="9"/>
    </row>
    <row r="125" spans="2:63" x14ac:dyDescent="0.25">
      <c r="B125" s="9" t="str">
        <f t="shared" si="24"/>
        <v>NTN</v>
      </c>
      <c r="C125" s="22" t="s">
        <v>244</v>
      </c>
      <c r="D125" s="22" t="s">
        <v>303</v>
      </c>
      <c r="F125" s="37" t="s">
        <v>17</v>
      </c>
      <c r="J125" s="9">
        <v>42</v>
      </c>
      <c r="L125" s="39" t="str">
        <f t="shared" si="41"/>
        <v>Kiểm tra lại lại trạm và địa hình</v>
      </c>
      <c r="M125" s="39" t="str">
        <f t="shared" si="42"/>
        <v>Kiểm tra loại cột</v>
      </c>
      <c r="N125" s="39" t="str">
        <f t="shared" si="43"/>
        <v>Kiểm tra loại cột</v>
      </c>
      <c r="O125" s="39" t="str">
        <f t="shared" si="44"/>
        <v>Kiểm tra loại nhà</v>
      </c>
      <c r="P125" s="37" t="s">
        <v>328</v>
      </c>
      <c r="T125" s="43" t="str">
        <f>IFERROR(VLOOKUP(U125,#REF!,2,0),"")</f>
        <v/>
      </c>
      <c r="V125" s="43" t="str">
        <f t="shared" ca="1" si="28"/>
        <v/>
      </c>
      <c r="Y125" s="43" t="str">
        <f t="shared" ca="1" si="29"/>
        <v/>
      </c>
      <c r="Z125" s="39" t="str">
        <f>IFERROR(VLOOKUP(AA125,#REF!,2,0),"")</f>
        <v/>
      </c>
      <c r="AB125" s="14"/>
      <c r="AD125" s="43" t="str">
        <f t="shared" ca="1" si="30"/>
        <v/>
      </c>
      <c r="AI125" s="43" t="str">
        <f t="shared" ca="1" si="31"/>
        <v/>
      </c>
      <c r="AN125" s="49" t="e">
        <f t="shared" si="32"/>
        <v>#VALUE!</v>
      </c>
      <c r="BA125" s="12" t="str">
        <f t="shared" si="33"/>
        <v>chưa PS</v>
      </c>
      <c r="BD125" s="12">
        <f t="shared" ca="1" si="38"/>
        <v>43150</v>
      </c>
      <c r="BF125" s="12">
        <f t="shared" ca="1" si="39"/>
        <v>43150</v>
      </c>
      <c r="BG125" s="9" t="str">
        <f t="shared" ca="1" si="40"/>
        <v>Trong hạn</v>
      </c>
      <c r="BH125" s="9"/>
      <c r="BI125" s="9"/>
      <c r="BJ125" s="9"/>
      <c r="BK125" s="9"/>
    </row>
    <row r="126" spans="2:63" ht="24" x14ac:dyDescent="0.25">
      <c r="B126" s="9" t="str">
        <f t="shared" si="24"/>
        <v>NTN</v>
      </c>
      <c r="C126" s="22" t="s">
        <v>245</v>
      </c>
      <c r="D126" s="22" t="s">
        <v>304</v>
      </c>
      <c r="F126" s="37" t="s">
        <v>329</v>
      </c>
      <c r="I126" s="37" t="s">
        <v>18</v>
      </c>
      <c r="J126" s="9">
        <v>18</v>
      </c>
      <c r="K126" s="37" t="s">
        <v>215</v>
      </c>
      <c r="L126" s="39" t="str">
        <f t="shared" si="41"/>
        <v>Kiểm tra lại lại trạm và địa hình</v>
      </c>
      <c r="M126" s="39">
        <f t="shared" si="42"/>
        <v>7</v>
      </c>
      <c r="N126" s="39">
        <f t="shared" si="43"/>
        <v>10</v>
      </c>
      <c r="O126" s="39" t="str">
        <f t="shared" si="44"/>
        <v>Kiểm tra loại nhà</v>
      </c>
      <c r="P126" s="37" t="s">
        <v>328</v>
      </c>
      <c r="R126" s="10"/>
      <c r="T126" s="43" t="str">
        <f>IFERROR(VLOOKUP(U126,#REF!,2,0),"")</f>
        <v/>
      </c>
      <c r="V126" s="43" t="str">
        <f t="shared" ca="1" si="28"/>
        <v/>
      </c>
      <c r="Y126" s="43" t="str">
        <f t="shared" ca="1" si="29"/>
        <v/>
      </c>
      <c r="Z126" s="39" t="str">
        <f>IFERROR(VLOOKUP(AA126,#REF!,2,0),"")</f>
        <v/>
      </c>
      <c r="AB126" s="14"/>
      <c r="AD126" s="43" t="str">
        <f t="shared" ca="1" si="30"/>
        <v>Quá hạn</v>
      </c>
      <c r="AI126" s="43" t="str">
        <f t="shared" ca="1" si="31"/>
        <v/>
      </c>
      <c r="AN126" s="49" t="e">
        <f t="shared" si="32"/>
        <v>#VALUE!</v>
      </c>
      <c r="BA126" s="12" t="str">
        <f t="shared" si="33"/>
        <v>chưa PS</v>
      </c>
      <c r="BD126" s="12">
        <f t="shared" ca="1" si="38"/>
        <v>43150</v>
      </c>
      <c r="BF126" s="12">
        <f t="shared" ca="1" si="39"/>
        <v>43150</v>
      </c>
      <c r="BG126" s="9" t="str">
        <f t="shared" ca="1" si="40"/>
        <v>Trong hạn</v>
      </c>
      <c r="BH126" s="9"/>
      <c r="BI126" s="9"/>
      <c r="BJ126" s="9"/>
      <c r="BK126" s="9"/>
    </row>
    <row r="127" spans="2:63" ht="24" x14ac:dyDescent="0.25">
      <c r="B127" s="9" t="str">
        <f t="shared" si="24"/>
        <v>NTN</v>
      </c>
      <c r="C127" s="22" t="s">
        <v>246</v>
      </c>
      <c r="D127" s="22" t="s">
        <v>305</v>
      </c>
      <c r="F127" s="37" t="s">
        <v>329</v>
      </c>
      <c r="I127" s="37" t="s">
        <v>18</v>
      </c>
      <c r="J127" s="9">
        <v>18</v>
      </c>
      <c r="L127" s="39" t="str">
        <f t="shared" si="41"/>
        <v>Kiểm tra lại lại trạm và địa hình</v>
      </c>
      <c r="M127" s="39">
        <f t="shared" si="42"/>
        <v>7</v>
      </c>
      <c r="N127" s="39">
        <f t="shared" si="43"/>
        <v>10</v>
      </c>
      <c r="O127" s="39" t="str">
        <f t="shared" si="44"/>
        <v>Kiểm tra loại nhà</v>
      </c>
      <c r="P127" s="37" t="s">
        <v>328</v>
      </c>
      <c r="R127" s="10"/>
      <c r="T127" s="43" t="str">
        <f>IFERROR(VLOOKUP(U127,#REF!,2,0),"")</f>
        <v/>
      </c>
      <c r="V127" s="43" t="str">
        <f t="shared" ca="1" si="28"/>
        <v/>
      </c>
      <c r="Y127" s="43" t="str">
        <f t="shared" ca="1" si="29"/>
        <v/>
      </c>
      <c r="Z127" s="39" t="str">
        <f>IFERROR(VLOOKUP(AA127,#REF!,2,0),"")</f>
        <v/>
      </c>
      <c r="AB127" s="14"/>
      <c r="AD127" s="43" t="str">
        <f t="shared" ca="1" si="30"/>
        <v>Quá hạn</v>
      </c>
      <c r="AI127" s="43" t="str">
        <f t="shared" ca="1" si="31"/>
        <v/>
      </c>
      <c r="AN127" s="49" t="e">
        <f t="shared" si="32"/>
        <v>#VALUE!</v>
      </c>
      <c r="BA127" s="12" t="str">
        <f t="shared" si="33"/>
        <v>chưa PS</v>
      </c>
      <c r="BD127" s="12">
        <f t="shared" ca="1" si="38"/>
        <v>43150</v>
      </c>
      <c r="BF127" s="12">
        <f t="shared" ca="1" si="39"/>
        <v>43150</v>
      </c>
      <c r="BG127" s="9" t="str">
        <f t="shared" ca="1" si="40"/>
        <v>Trong hạn</v>
      </c>
      <c r="BH127" s="9"/>
      <c r="BI127" s="9"/>
      <c r="BJ127" s="9"/>
      <c r="BK127" s="9"/>
    </row>
    <row r="128" spans="2:63" x14ac:dyDescent="0.25">
      <c r="B128" s="9" t="str">
        <f t="shared" si="24"/>
        <v>NTN</v>
      </c>
      <c r="C128" s="22" t="s">
        <v>247</v>
      </c>
      <c r="D128" s="22" t="s">
        <v>306</v>
      </c>
      <c r="F128" s="37" t="s">
        <v>329</v>
      </c>
      <c r="I128" s="37" t="s">
        <v>18</v>
      </c>
      <c r="J128" s="9">
        <v>18</v>
      </c>
      <c r="L128" s="39" t="str">
        <f t="shared" si="41"/>
        <v>Kiểm tra lại lại trạm và địa hình</v>
      </c>
      <c r="M128" s="39">
        <f t="shared" si="42"/>
        <v>7</v>
      </c>
      <c r="N128" s="39">
        <f t="shared" si="43"/>
        <v>10</v>
      </c>
      <c r="O128" s="39" t="str">
        <f t="shared" si="44"/>
        <v>Kiểm tra loại nhà</v>
      </c>
      <c r="P128" s="37" t="s">
        <v>328</v>
      </c>
      <c r="R128" s="10"/>
      <c r="T128" s="43" t="str">
        <f>IFERROR(VLOOKUP(U128,#REF!,2,0),"")</f>
        <v/>
      </c>
      <c r="V128" s="43" t="str">
        <f t="shared" ca="1" si="28"/>
        <v/>
      </c>
      <c r="Y128" s="43" t="str">
        <f t="shared" ca="1" si="29"/>
        <v/>
      </c>
      <c r="Z128" s="39" t="str">
        <f>IFERROR(VLOOKUP(AA128,#REF!,2,0),"")</f>
        <v/>
      </c>
      <c r="AB128" s="14"/>
      <c r="AD128" s="43" t="str">
        <f t="shared" ca="1" si="30"/>
        <v>Quá hạn</v>
      </c>
      <c r="AI128" s="43" t="str">
        <f t="shared" ca="1" si="31"/>
        <v/>
      </c>
      <c r="AN128" s="49" t="e">
        <f t="shared" si="32"/>
        <v>#VALUE!</v>
      </c>
      <c r="BA128" s="12" t="str">
        <f t="shared" si="33"/>
        <v>chưa PS</v>
      </c>
      <c r="BD128" s="12">
        <f t="shared" ca="1" si="38"/>
        <v>43150</v>
      </c>
      <c r="BF128" s="12">
        <f t="shared" ca="1" si="39"/>
        <v>43150</v>
      </c>
      <c r="BG128" s="9" t="str">
        <f t="shared" ca="1" si="40"/>
        <v>Trong hạn</v>
      </c>
      <c r="BH128" s="9"/>
      <c r="BI128" s="9"/>
      <c r="BJ128" s="9"/>
      <c r="BK128" s="9"/>
    </row>
    <row r="129" spans="2:63" x14ac:dyDescent="0.25">
      <c r="B129" s="9" t="str">
        <f t="shared" ref="B129:B182" si="46">LEFT(C129,3)</f>
        <v>PYN</v>
      </c>
      <c r="C129" s="23" t="s">
        <v>248</v>
      </c>
      <c r="D129" s="23" t="s">
        <v>307</v>
      </c>
      <c r="F129" s="37" t="s">
        <v>15</v>
      </c>
      <c r="J129" s="9">
        <v>42</v>
      </c>
      <c r="L129" s="39" t="str">
        <f t="shared" si="41"/>
        <v>Kiểm tra lại lại trạm và địa hình</v>
      </c>
      <c r="M129" s="39" t="str">
        <f t="shared" si="42"/>
        <v>Kiểm tra loại cột</v>
      </c>
      <c r="N129" s="39" t="str">
        <f t="shared" si="43"/>
        <v>Kiểm tra loại cột</v>
      </c>
      <c r="O129" s="39" t="str">
        <f t="shared" si="44"/>
        <v>Kiểm tra loại nhà</v>
      </c>
      <c r="P129" s="37" t="s">
        <v>328</v>
      </c>
      <c r="T129" s="43" t="str">
        <f>IFERROR(VLOOKUP(U129,#REF!,2,0),"")</f>
        <v/>
      </c>
      <c r="V129" s="43" t="str">
        <f t="shared" ca="1" si="28"/>
        <v/>
      </c>
      <c r="Y129" s="43" t="str">
        <f t="shared" ca="1" si="29"/>
        <v/>
      </c>
      <c r="Z129" s="39" t="str">
        <f>IFERROR(VLOOKUP(AA129,#REF!,2,0),"")</f>
        <v/>
      </c>
      <c r="AB129" s="14"/>
      <c r="AD129" s="43" t="str">
        <f t="shared" ca="1" si="30"/>
        <v/>
      </c>
      <c r="AI129" s="43" t="str">
        <f t="shared" ca="1" si="31"/>
        <v/>
      </c>
      <c r="AN129" s="49" t="e">
        <f t="shared" si="32"/>
        <v>#VALUE!</v>
      </c>
      <c r="BA129" s="12" t="str">
        <f t="shared" si="33"/>
        <v>chưa PS</v>
      </c>
      <c r="BD129" s="12">
        <f t="shared" ca="1" si="38"/>
        <v>43150</v>
      </c>
      <c r="BF129" s="12">
        <f t="shared" ca="1" si="39"/>
        <v>43150</v>
      </c>
      <c r="BG129" s="9" t="str">
        <f t="shared" ca="1" si="40"/>
        <v>Trong hạn</v>
      </c>
      <c r="BH129" s="9"/>
      <c r="BI129" s="9"/>
      <c r="BJ129" s="9"/>
      <c r="BK129" s="9"/>
    </row>
    <row r="130" spans="2:63" ht="24" x14ac:dyDescent="0.25">
      <c r="B130" s="9" t="str">
        <f t="shared" si="46"/>
        <v>PYN</v>
      </c>
      <c r="C130" s="23" t="s">
        <v>249</v>
      </c>
      <c r="D130" s="23" t="s">
        <v>249</v>
      </c>
      <c r="F130" s="37" t="s">
        <v>329</v>
      </c>
      <c r="I130" s="37" t="s">
        <v>18</v>
      </c>
      <c r="J130" s="9">
        <v>18</v>
      </c>
      <c r="L130" s="39" t="str">
        <f t="shared" si="41"/>
        <v>Kiểm tra lại lại trạm và địa hình</v>
      </c>
      <c r="M130" s="39">
        <f t="shared" si="42"/>
        <v>7</v>
      </c>
      <c r="N130" s="39">
        <f t="shared" si="43"/>
        <v>10</v>
      </c>
      <c r="O130" s="39" t="str">
        <f t="shared" si="44"/>
        <v>Kiểm tra loại nhà</v>
      </c>
      <c r="P130" s="37" t="s">
        <v>328</v>
      </c>
      <c r="R130" s="10"/>
      <c r="T130" s="43" t="str">
        <f>IFERROR(VLOOKUP(U130,#REF!,2,0),"")</f>
        <v/>
      </c>
      <c r="V130" s="43" t="str">
        <f t="shared" ref="V130:V182" ca="1" si="47">IF(W130&lt;&gt;"","Đã khởi công",IF(Q130&lt;&gt;"",IF(X130="",IF(W130&lt;&gt;"",IF(W130-R130&lt;8,"Trong hạn","Quá hạn"),IF(TODAY()-R130&lt;8,"Trong hạn","Quá hạn")),""),""))</f>
        <v/>
      </c>
      <c r="Y130" s="43" t="str">
        <f t="shared" ref="Y130:Y182" ca="1" si="48">IFERROR(IF(W130&lt;&gt;"",IF(X130="",IF(AND(X130="",TODAY()-W130-M130&gt;0),"Quá hạn","Trong hạn"),"Đã xong móng"),""),"")</f>
        <v/>
      </c>
      <c r="Z130" s="39" t="str">
        <f>IFERROR(VLOOKUP(AA130,#REF!,2,0),"")</f>
        <v/>
      </c>
      <c r="AB130" s="14"/>
      <c r="AD130" s="43" t="str">
        <f t="shared" ref="AD130:AD182" ca="1" si="49">IFERROR(IF(AC130="",IF(AND(AC130="",TODAY()-$W130-N130&gt;0),"Quá hạn","Trong hạn"),"Đã xong cột"),"")</f>
        <v>Quá hạn</v>
      </c>
      <c r="AI130" s="43" t="str">
        <f t="shared" ref="AI130:AI182" ca="1" si="50">IFERROR(IF(AH130="",IF(AND(AH130="",TODAY()-$W130-O130&gt;0),"Quá hạn","Trong hạn"),"Đã xong nhà"),"")</f>
        <v/>
      </c>
      <c r="AN130" s="49" t="e">
        <f t="shared" ref="AN130:AN182" si="51">O130+3</f>
        <v>#VALUE!</v>
      </c>
      <c r="BA130" s="12" t="str">
        <f t="shared" ref="BA130:BA182" si="52">IF($AZ130&lt;&gt;"","Đã PS","chưa PS")</f>
        <v>chưa PS</v>
      </c>
      <c r="BD130" s="12">
        <f t="shared" ca="1" si="38"/>
        <v>43150</v>
      </c>
      <c r="BF130" s="12">
        <f t="shared" ca="1" si="39"/>
        <v>43150</v>
      </c>
      <c r="BG130" s="9" t="str">
        <f t="shared" ca="1" si="40"/>
        <v>Trong hạn</v>
      </c>
      <c r="BH130" s="9"/>
      <c r="BI130" s="9"/>
      <c r="BJ130" s="9"/>
      <c r="BK130" s="9"/>
    </row>
    <row r="131" spans="2:63" ht="24" x14ac:dyDescent="0.25">
      <c r="B131" s="9" t="str">
        <f t="shared" si="46"/>
        <v>KHA</v>
      </c>
      <c r="C131" s="22" t="s">
        <v>250</v>
      </c>
      <c r="D131" s="22" t="s">
        <v>250</v>
      </c>
      <c r="F131" s="37" t="s">
        <v>329</v>
      </c>
      <c r="J131" s="9">
        <v>18</v>
      </c>
      <c r="L131" s="39" t="str">
        <f t="shared" si="41"/>
        <v>Kiểm tra lại lại trạm và địa hình</v>
      </c>
      <c r="M131" s="39" t="str">
        <f t="shared" si="42"/>
        <v>Kiểm tra loại cột</v>
      </c>
      <c r="N131" s="39" t="str">
        <f t="shared" si="43"/>
        <v>Kiểm tra loại cột</v>
      </c>
      <c r="O131" s="39" t="str">
        <f t="shared" si="44"/>
        <v>Kiểm tra loại nhà</v>
      </c>
      <c r="P131" s="37" t="s">
        <v>328</v>
      </c>
      <c r="T131" s="43" t="str">
        <f>IFERROR(VLOOKUP(U131,#REF!,2,0),"")</f>
        <v/>
      </c>
      <c r="V131" s="43" t="str">
        <f t="shared" ca="1" si="47"/>
        <v/>
      </c>
      <c r="Y131" s="43" t="str">
        <f t="shared" ca="1" si="48"/>
        <v/>
      </c>
      <c r="Z131" s="39" t="str">
        <f>IFERROR(VLOOKUP(AA131,#REF!,2,0),"")</f>
        <v/>
      </c>
      <c r="AB131" s="14"/>
      <c r="AD131" s="43" t="str">
        <f t="shared" ca="1" si="49"/>
        <v/>
      </c>
      <c r="AI131" s="43" t="str">
        <f t="shared" ca="1" si="50"/>
        <v/>
      </c>
      <c r="AN131" s="49" t="e">
        <f t="shared" si="51"/>
        <v>#VALUE!</v>
      </c>
      <c r="BA131" s="12" t="str">
        <f t="shared" si="52"/>
        <v>chưa PS</v>
      </c>
      <c r="BD131" s="12">
        <f t="shared" ca="1" si="38"/>
        <v>43150</v>
      </c>
      <c r="BF131" s="12">
        <f t="shared" ca="1" si="39"/>
        <v>43150</v>
      </c>
      <c r="BG131" s="9" t="str">
        <f t="shared" ca="1" si="40"/>
        <v>Trong hạn</v>
      </c>
      <c r="BH131" s="9"/>
      <c r="BI131" s="9"/>
      <c r="BJ131" s="9"/>
      <c r="BK131" s="9"/>
    </row>
    <row r="132" spans="2:63" x14ac:dyDescent="0.25">
      <c r="B132" s="9" t="str">
        <f t="shared" si="46"/>
        <v>KHA</v>
      </c>
      <c r="C132" s="22" t="s">
        <v>251</v>
      </c>
      <c r="D132" s="22" t="s">
        <v>308</v>
      </c>
      <c r="F132" s="37" t="s">
        <v>329</v>
      </c>
      <c r="I132" s="37" t="s">
        <v>18</v>
      </c>
      <c r="J132" s="9">
        <v>18</v>
      </c>
      <c r="L132" s="39" t="str">
        <f t="shared" si="41"/>
        <v>Kiểm tra lại lại trạm và địa hình</v>
      </c>
      <c r="M132" s="39">
        <f t="shared" si="42"/>
        <v>7</v>
      </c>
      <c r="N132" s="39">
        <f t="shared" si="43"/>
        <v>10</v>
      </c>
      <c r="O132" s="39" t="str">
        <f t="shared" si="44"/>
        <v>Kiểm tra loại nhà</v>
      </c>
      <c r="P132" s="37" t="s">
        <v>328</v>
      </c>
      <c r="R132" s="10"/>
      <c r="T132" s="43" t="str">
        <f>IFERROR(VLOOKUP(U132,#REF!,2,0),"")</f>
        <v/>
      </c>
      <c r="V132" s="43" t="str">
        <f t="shared" ca="1" si="47"/>
        <v/>
      </c>
      <c r="Y132" s="43" t="str">
        <f t="shared" ca="1" si="48"/>
        <v/>
      </c>
      <c r="Z132" s="39" t="str">
        <f>IFERROR(VLOOKUP(AA132,#REF!,2,0),"")</f>
        <v/>
      </c>
      <c r="AB132" s="14"/>
      <c r="AD132" s="43" t="str">
        <f t="shared" ca="1" si="49"/>
        <v>Quá hạn</v>
      </c>
      <c r="AI132" s="43" t="str">
        <f t="shared" ca="1" si="50"/>
        <v/>
      </c>
      <c r="AN132" s="49" t="e">
        <f t="shared" si="51"/>
        <v>#VALUE!</v>
      </c>
      <c r="BA132" s="12" t="str">
        <f t="shared" si="52"/>
        <v>chưa PS</v>
      </c>
      <c r="BD132" s="12">
        <f t="shared" ca="1" si="38"/>
        <v>43150</v>
      </c>
      <c r="BF132" s="12">
        <f t="shared" ca="1" si="39"/>
        <v>43150</v>
      </c>
      <c r="BG132" s="9" t="str">
        <f t="shared" ca="1" si="40"/>
        <v>Trong hạn</v>
      </c>
      <c r="BH132" s="9"/>
      <c r="BI132" s="9"/>
      <c r="BJ132" s="9"/>
      <c r="BK132" s="9"/>
    </row>
    <row r="133" spans="2:63" ht="24" x14ac:dyDescent="0.25">
      <c r="B133" s="9" t="str">
        <f t="shared" si="46"/>
        <v>KHA</v>
      </c>
      <c r="C133" s="22" t="s">
        <v>252</v>
      </c>
      <c r="D133" s="22" t="s">
        <v>252</v>
      </c>
      <c r="F133" s="37" t="s">
        <v>329</v>
      </c>
      <c r="J133" s="9">
        <v>30</v>
      </c>
      <c r="L133" s="39" t="str">
        <f t="shared" si="41"/>
        <v>Kiểm tra lại lại trạm và địa hình</v>
      </c>
      <c r="M133" s="39" t="str">
        <f t="shared" si="42"/>
        <v>Kiểm tra loại cột</v>
      </c>
      <c r="N133" s="39" t="str">
        <f t="shared" si="43"/>
        <v>Kiểm tra loại cột</v>
      </c>
      <c r="O133" s="39" t="str">
        <f t="shared" si="44"/>
        <v>Kiểm tra loại nhà</v>
      </c>
      <c r="P133" s="37" t="s">
        <v>328</v>
      </c>
      <c r="T133" s="43" t="str">
        <f>IFERROR(VLOOKUP(U133,#REF!,2,0),"")</f>
        <v/>
      </c>
      <c r="V133" s="43" t="str">
        <f t="shared" ca="1" si="47"/>
        <v/>
      </c>
      <c r="Y133" s="43" t="str">
        <f t="shared" ca="1" si="48"/>
        <v/>
      </c>
      <c r="Z133" s="39" t="str">
        <f>IFERROR(VLOOKUP(AA133,#REF!,2,0),"")</f>
        <v/>
      </c>
      <c r="AB133" s="14"/>
      <c r="AD133" s="43" t="str">
        <f t="shared" ca="1" si="49"/>
        <v/>
      </c>
      <c r="AI133" s="43" t="str">
        <f t="shared" ca="1" si="50"/>
        <v/>
      </c>
      <c r="AN133" s="49" t="e">
        <f t="shared" si="51"/>
        <v>#VALUE!</v>
      </c>
      <c r="BA133" s="12" t="str">
        <f t="shared" si="52"/>
        <v>chưa PS</v>
      </c>
      <c r="BD133" s="12">
        <f t="shared" ca="1" si="38"/>
        <v>43150</v>
      </c>
      <c r="BF133" s="12">
        <f t="shared" ca="1" si="39"/>
        <v>43150</v>
      </c>
      <c r="BG133" s="9" t="str">
        <f t="shared" ca="1" si="40"/>
        <v>Trong hạn</v>
      </c>
      <c r="BH133" s="9"/>
      <c r="BI133" s="9"/>
      <c r="BJ133" s="9"/>
      <c r="BK133" s="9"/>
    </row>
    <row r="134" spans="2:63" x14ac:dyDescent="0.25">
      <c r="B134" s="9" t="str">
        <f t="shared" si="46"/>
        <v>KHA</v>
      </c>
      <c r="C134" s="22" t="s">
        <v>253</v>
      </c>
      <c r="D134" s="22" t="s">
        <v>309</v>
      </c>
      <c r="F134" s="37" t="s">
        <v>329</v>
      </c>
      <c r="J134" s="9">
        <v>18</v>
      </c>
      <c r="L134" s="39" t="str">
        <f t="shared" si="41"/>
        <v>Kiểm tra lại lại trạm và địa hình</v>
      </c>
      <c r="M134" s="39" t="str">
        <f t="shared" si="42"/>
        <v>Kiểm tra loại cột</v>
      </c>
      <c r="N134" s="39" t="str">
        <f t="shared" si="43"/>
        <v>Kiểm tra loại cột</v>
      </c>
      <c r="O134" s="39" t="str">
        <f t="shared" si="44"/>
        <v>Kiểm tra loại nhà</v>
      </c>
      <c r="P134" s="37" t="s">
        <v>328</v>
      </c>
      <c r="T134" s="43" t="str">
        <f>IFERROR(VLOOKUP(U134,#REF!,2,0),"")</f>
        <v/>
      </c>
      <c r="V134" s="43" t="str">
        <f t="shared" ca="1" si="47"/>
        <v/>
      </c>
      <c r="Y134" s="43" t="str">
        <f t="shared" ca="1" si="48"/>
        <v/>
      </c>
      <c r="Z134" s="39" t="str">
        <f>IFERROR(VLOOKUP(AA134,#REF!,2,0),"")</f>
        <v/>
      </c>
      <c r="AB134" s="14"/>
      <c r="AD134" s="43" t="str">
        <f t="shared" ca="1" si="49"/>
        <v/>
      </c>
      <c r="AI134" s="43" t="str">
        <f t="shared" ca="1" si="50"/>
        <v/>
      </c>
      <c r="AN134" s="49" t="e">
        <f t="shared" si="51"/>
        <v>#VALUE!</v>
      </c>
      <c r="BA134" s="12" t="str">
        <f t="shared" si="52"/>
        <v>chưa PS</v>
      </c>
      <c r="BD134" s="12">
        <f t="shared" ca="1" si="38"/>
        <v>43150</v>
      </c>
      <c r="BF134" s="12">
        <f t="shared" ca="1" si="39"/>
        <v>43150</v>
      </c>
      <c r="BG134" s="9" t="str">
        <f t="shared" ca="1" si="40"/>
        <v>Trong hạn</v>
      </c>
      <c r="BH134" s="9"/>
      <c r="BI134" s="9"/>
      <c r="BJ134" s="9"/>
      <c r="BK134" s="9"/>
    </row>
    <row r="135" spans="2:63" x14ac:dyDescent="0.25">
      <c r="B135" s="9" t="str">
        <f t="shared" si="46"/>
        <v>GLI</v>
      </c>
      <c r="C135" s="17" t="s">
        <v>254</v>
      </c>
      <c r="D135" s="17" t="s">
        <v>310</v>
      </c>
      <c r="F135" s="37" t="s">
        <v>329</v>
      </c>
      <c r="I135" s="37" t="s">
        <v>18</v>
      </c>
      <c r="J135" s="9">
        <v>18</v>
      </c>
      <c r="L135" s="39" t="str">
        <f t="shared" si="41"/>
        <v>Kiểm tra lại lại trạm và địa hình</v>
      </c>
      <c r="M135" s="39">
        <f t="shared" si="42"/>
        <v>7</v>
      </c>
      <c r="N135" s="39">
        <f t="shared" si="43"/>
        <v>10</v>
      </c>
      <c r="O135" s="39" t="str">
        <f t="shared" si="44"/>
        <v>Kiểm tra loại nhà</v>
      </c>
      <c r="P135" s="37" t="s">
        <v>328</v>
      </c>
      <c r="R135" s="10"/>
      <c r="T135" s="43" t="str">
        <f>IFERROR(VLOOKUP(U135,#REF!,2,0),"")</f>
        <v/>
      </c>
      <c r="V135" s="43" t="str">
        <f t="shared" ca="1" si="47"/>
        <v/>
      </c>
      <c r="Y135" s="43" t="str">
        <f t="shared" ca="1" si="48"/>
        <v/>
      </c>
      <c r="Z135" s="39" t="str">
        <f>IFERROR(VLOOKUP(AA135,#REF!,2,0),"")</f>
        <v/>
      </c>
      <c r="AB135" s="14"/>
      <c r="AD135" s="43" t="str">
        <f t="shared" ca="1" si="49"/>
        <v>Quá hạn</v>
      </c>
      <c r="AI135" s="43" t="str">
        <f t="shared" ca="1" si="50"/>
        <v/>
      </c>
      <c r="AN135" s="49" t="e">
        <f t="shared" si="51"/>
        <v>#VALUE!</v>
      </c>
      <c r="BA135" s="12" t="str">
        <f t="shared" si="52"/>
        <v>chưa PS</v>
      </c>
      <c r="BD135" s="12">
        <f t="shared" ca="1" si="38"/>
        <v>43150</v>
      </c>
      <c r="BF135" s="12">
        <f t="shared" ca="1" si="39"/>
        <v>43150</v>
      </c>
      <c r="BG135" s="9" t="str">
        <f t="shared" ca="1" si="40"/>
        <v>Trong hạn</v>
      </c>
      <c r="BH135" s="9"/>
      <c r="BI135" s="9"/>
      <c r="BJ135" s="9"/>
      <c r="BK135" s="9"/>
    </row>
    <row r="136" spans="2:63" x14ac:dyDescent="0.25">
      <c r="B136" s="9" t="str">
        <f t="shared" si="46"/>
        <v>GLI</v>
      </c>
      <c r="C136" s="17" t="s">
        <v>255</v>
      </c>
      <c r="D136" s="17" t="s">
        <v>311</v>
      </c>
      <c r="F136" s="37" t="s">
        <v>329</v>
      </c>
      <c r="I136" s="37" t="s">
        <v>18</v>
      </c>
      <c r="J136" s="9">
        <v>18</v>
      </c>
      <c r="L136" s="39" t="str">
        <f t="shared" si="41"/>
        <v>Kiểm tra lại lại trạm và địa hình</v>
      </c>
      <c r="M136" s="39">
        <f t="shared" si="42"/>
        <v>7</v>
      </c>
      <c r="N136" s="39">
        <f t="shared" si="43"/>
        <v>10</v>
      </c>
      <c r="O136" s="39" t="str">
        <f t="shared" si="44"/>
        <v>Kiểm tra loại nhà</v>
      </c>
      <c r="P136" s="37" t="s">
        <v>328</v>
      </c>
      <c r="R136" s="10"/>
      <c r="T136" s="43" t="str">
        <f>IFERROR(VLOOKUP(U136,#REF!,2,0),"")</f>
        <v/>
      </c>
      <c r="V136" s="43" t="str">
        <f t="shared" ca="1" si="47"/>
        <v/>
      </c>
      <c r="Y136" s="43" t="str">
        <f t="shared" ca="1" si="48"/>
        <v/>
      </c>
      <c r="Z136" s="39" t="str">
        <f>IFERROR(VLOOKUP(AA136,#REF!,2,0),"")</f>
        <v/>
      </c>
      <c r="AB136" s="14"/>
      <c r="AD136" s="43" t="str">
        <f t="shared" ca="1" si="49"/>
        <v>Quá hạn</v>
      </c>
      <c r="AI136" s="43" t="str">
        <f t="shared" ca="1" si="50"/>
        <v/>
      </c>
      <c r="AN136" s="49" t="e">
        <f t="shared" si="51"/>
        <v>#VALUE!</v>
      </c>
      <c r="BA136" s="12" t="str">
        <f t="shared" si="52"/>
        <v>chưa PS</v>
      </c>
      <c r="BD136" s="12">
        <f t="shared" ca="1" si="38"/>
        <v>43150</v>
      </c>
      <c r="BF136" s="12">
        <f t="shared" ca="1" si="39"/>
        <v>43150</v>
      </c>
      <c r="BG136" s="9" t="str">
        <f t="shared" ca="1" si="40"/>
        <v>Trong hạn</v>
      </c>
      <c r="BH136" s="9"/>
      <c r="BI136" s="9"/>
      <c r="BJ136" s="9"/>
      <c r="BK136" s="9"/>
    </row>
    <row r="137" spans="2:63" x14ac:dyDescent="0.25">
      <c r="B137" s="9" t="str">
        <f t="shared" si="46"/>
        <v>GLI</v>
      </c>
      <c r="C137" s="17" t="s">
        <v>256</v>
      </c>
      <c r="D137" s="17" t="s">
        <v>312</v>
      </c>
      <c r="F137" s="37" t="s">
        <v>329</v>
      </c>
      <c r="I137" s="37" t="s">
        <v>18</v>
      </c>
      <c r="J137" s="9">
        <v>18</v>
      </c>
      <c r="L137" s="39" t="str">
        <f t="shared" si="41"/>
        <v>Kiểm tra lại lại trạm và địa hình</v>
      </c>
      <c r="M137" s="39">
        <f t="shared" si="42"/>
        <v>7</v>
      </c>
      <c r="N137" s="39">
        <f t="shared" si="43"/>
        <v>10</v>
      </c>
      <c r="O137" s="39" t="str">
        <f t="shared" si="44"/>
        <v>Kiểm tra loại nhà</v>
      </c>
      <c r="P137" s="37" t="s">
        <v>328</v>
      </c>
      <c r="R137" s="10"/>
      <c r="T137" s="43" t="str">
        <f>IFERROR(VLOOKUP(U137,#REF!,2,0),"")</f>
        <v/>
      </c>
      <c r="V137" s="43" t="str">
        <f t="shared" ca="1" si="47"/>
        <v/>
      </c>
      <c r="Y137" s="43" t="str">
        <f t="shared" ca="1" si="48"/>
        <v/>
      </c>
      <c r="Z137" s="39" t="str">
        <f>IFERROR(VLOOKUP(AA137,#REF!,2,0),"")</f>
        <v/>
      </c>
      <c r="AB137" s="14"/>
      <c r="AD137" s="43" t="str">
        <f t="shared" ca="1" si="49"/>
        <v>Quá hạn</v>
      </c>
      <c r="AI137" s="43" t="str">
        <f t="shared" ca="1" si="50"/>
        <v/>
      </c>
      <c r="AN137" s="49" t="e">
        <f t="shared" si="51"/>
        <v>#VALUE!</v>
      </c>
      <c r="BA137" s="12" t="str">
        <f t="shared" si="52"/>
        <v>chưa PS</v>
      </c>
      <c r="BD137" s="12">
        <f t="shared" ca="1" si="38"/>
        <v>43150</v>
      </c>
      <c r="BF137" s="12">
        <f t="shared" ca="1" si="39"/>
        <v>43150</v>
      </c>
      <c r="BG137" s="9" t="str">
        <f t="shared" ca="1" si="40"/>
        <v>Trong hạn</v>
      </c>
      <c r="BH137" s="9"/>
      <c r="BI137" s="9"/>
      <c r="BJ137" s="9"/>
      <c r="BK137" s="9"/>
    </row>
    <row r="138" spans="2:63" x14ac:dyDescent="0.25">
      <c r="B138" s="9" t="str">
        <f t="shared" si="46"/>
        <v>GLI</v>
      </c>
      <c r="C138" s="17" t="s">
        <v>257</v>
      </c>
      <c r="D138" s="17" t="s">
        <v>313</v>
      </c>
      <c r="F138" s="37" t="s">
        <v>329</v>
      </c>
      <c r="I138" s="37" t="s">
        <v>18</v>
      </c>
      <c r="J138" s="9">
        <v>18</v>
      </c>
      <c r="L138" s="39" t="str">
        <f t="shared" si="41"/>
        <v>Kiểm tra lại lại trạm và địa hình</v>
      </c>
      <c r="M138" s="39">
        <f t="shared" si="42"/>
        <v>7</v>
      </c>
      <c r="N138" s="39">
        <f t="shared" si="43"/>
        <v>10</v>
      </c>
      <c r="O138" s="39" t="str">
        <f t="shared" si="44"/>
        <v>Kiểm tra loại nhà</v>
      </c>
      <c r="P138" s="37" t="s">
        <v>328</v>
      </c>
      <c r="R138" s="10"/>
      <c r="T138" s="43" t="str">
        <f>IFERROR(VLOOKUP(U138,#REF!,2,0),"")</f>
        <v/>
      </c>
      <c r="V138" s="43" t="str">
        <f t="shared" ca="1" si="47"/>
        <v/>
      </c>
      <c r="Y138" s="43" t="str">
        <f t="shared" ca="1" si="48"/>
        <v/>
      </c>
      <c r="Z138" s="39" t="str">
        <f>IFERROR(VLOOKUP(AA138,#REF!,2,0),"")</f>
        <v/>
      </c>
      <c r="AB138" s="14"/>
      <c r="AD138" s="43" t="str">
        <f t="shared" ca="1" si="49"/>
        <v>Quá hạn</v>
      </c>
      <c r="AI138" s="43" t="str">
        <f t="shared" ca="1" si="50"/>
        <v/>
      </c>
      <c r="AN138" s="49" t="e">
        <f t="shared" si="51"/>
        <v>#VALUE!</v>
      </c>
      <c r="BA138" s="12" t="str">
        <f t="shared" si="52"/>
        <v>chưa PS</v>
      </c>
      <c r="BD138" s="12">
        <f t="shared" ca="1" si="38"/>
        <v>43150</v>
      </c>
      <c r="BF138" s="12">
        <f t="shared" ca="1" si="39"/>
        <v>43150</v>
      </c>
      <c r="BG138" s="9" t="str">
        <f t="shared" ca="1" si="40"/>
        <v>Trong hạn</v>
      </c>
      <c r="BH138" s="9"/>
      <c r="BI138" s="9"/>
      <c r="BJ138" s="9"/>
      <c r="BK138" s="9"/>
    </row>
    <row r="139" spans="2:63" x14ac:dyDescent="0.25">
      <c r="B139" s="9" t="str">
        <f t="shared" si="46"/>
        <v>GLI</v>
      </c>
      <c r="C139" s="17" t="s">
        <v>258</v>
      </c>
      <c r="D139" s="17" t="s">
        <v>314</v>
      </c>
      <c r="F139" s="37" t="s">
        <v>329</v>
      </c>
      <c r="I139" s="37" t="s">
        <v>18</v>
      </c>
      <c r="J139" s="9">
        <v>18</v>
      </c>
      <c r="L139" s="39" t="str">
        <f t="shared" si="41"/>
        <v>Kiểm tra lại lại trạm và địa hình</v>
      </c>
      <c r="M139" s="39">
        <f t="shared" si="42"/>
        <v>7</v>
      </c>
      <c r="N139" s="39">
        <f t="shared" si="43"/>
        <v>10</v>
      </c>
      <c r="O139" s="39" t="str">
        <f t="shared" si="44"/>
        <v>Kiểm tra loại nhà</v>
      </c>
      <c r="P139" s="37" t="s">
        <v>328</v>
      </c>
      <c r="R139" s="10"/>
      <c r="T139" s="43" t="str">
        <f>IFERROR(VLOOKUP(U139,#REF!,2,0),"")</f>
        <v/>
      </c>
      <c r="V139" s="43" t="str">
        <f t="shared" ca="1" si="47"/>
        <v/>
      </c>
      <c r="Y139" s="43" t="str">
        <f t="shared" ca="1" si="48"/>
        <v/>
      </c>
      <c r="Z139" s="39" t="str">
        <f>IFERROR(VLOOKUP(AA139,#REF!,2,0),"")</f>
        <v/>
      </c>
      <c r="AB139" s="14"/>
      <c r="AD139" s="43" t="str">
        <f t="shared" ca="1" si="49"/>
        <v>Quá hạn</v>
      </c>
      <c r="AI139" s="43" t="str">
        <f t="shared" ca="1" si="50"/>
        <v/>
      </c>
      <c r="AN139" s="49" t="e">
        <f t="shared" si="51"/>
        <v>#VALUE!</v>
      </c>
      <c r="BA139" s="12" t="str">
        <f t="shared" si="52"/>
        <v>chưa PS</v>
      </c>
      <c r="BD139" s="12">
        <f t="shared" ca="1" si="38"/>
        <v>43150</v>
      </c>
      <c r="BF139" s="12">
        <f t="shared" ca="1" si="39"/>
        <v>43150</v>
      </c>
      <c r="BG139" s="9" t="str">
        <f t="shared" ca="1" si="40"/>
        <v>Trong hạn</v>
      </c>
      <c r="BH139" s="9"/>
      <c r="BI139" s="9"/>
      <c r="BJ139" s="9"/>
      <c r="BK139" s="9"/>
    </row>
    <row r="140" spans="2:63" x14ac:dyDescent="0.25">
      <c r="B140" s="9" t="str">
        <f t="shared" si="46"/>
        <v>GLI</v>
      </c>
      <c r="C140" s="17" t="s">
        <v>259</v>
      </c>
      <c r="D140" s="17" t="s">
        <v>315</v>
      </c>
      <c r="F140" s="37" t="s">
        <v>329</v>
      </c>
      <c r="I140" s="37" t="s">
        <v>18</v>
      </c>
      <c r="J140" s="9">
        <v>18</v>
      </c>
      <c r="K140" s="37" t="s">
        <v>215</v>
      </c>
      <c r="L140" s="39" t="str">
        <f t="shared" si="41"/>
        <v>Kiểm tra lại lại trạm và địa hình</v>
      </c>
      <c r="M140" s="39">
        <f t="shared" si="42"/>
        <v>7</v>
      </c>
      <c r="N140" s="39">
        <f t="shared" si="43"/>
        <v>10</v>
      </c>
      <c r="O140" s="39" t="str">
        <f t="shared" si="44"/>
        <v>Kiểm tra loại nhà</v>
      </c>
      <c r="P140" s="37" t="s">
        <v>328</v>
      </c>
      <c r="R140" s="10"/>
      <c r="T140" s="43" t="str">
        <f>IFERROR(VLOOKUP(U140,#REF!,2,0),"")</f>
        <v/>
      </c>
      <c r="V140" s="43" t="str">
        <f t="shared" ca="1" si="47"/>
        <v/>
      </c>
      <c r="Y140" s="43" t="str">
        <f t="shared" ca="1" si="48"/>
        <v/>
      </c>
      <c r="Z140" s="39" t="str">
        <f>IFERROR(VLOOKUP(AA140,#REF!,2,0),"")</f>
        <v/>
      </c>
      <c r="AB140" s="14"/>
      <c r="AD140" s="43" t="str">
        <f t="shared" ca="1" si="49"/>
        <v>Quá hạn</v>
      </c>
      <c r="AI140" s="43" t="str">
        <f t="shared" ca="1" si="50"/>
        <v/>
      </c>
      <c r="AN140" s="49" t="e">
        <f t="shared" si="51"/>
        <v>#VALUE!</v>
      </c>
      <c r="BA140" s="12" t="str">
        <f t="shared" si="52"/>
        <v>chưa PS</v>
      </c>
      <c r="BD140" s="12">
        <f t="shared" ca="1" si="38"/>
        <v>43150</v>
      </c>
      <c r="BF140" s="12">
        <f t="shared" ca="1" si="39"/>
        <v>43150</v>
      </c>
      <c r="BG140" s="9" t="str">
        <f t="shared" ca="1" si="40"/>
        <v>Trong hạn</v>
      </c>
      <c r="BH140" s="9"/>
      <c r="BI140" s="9"/>
      <c r="BJ140" s="9"/>
      <c r="BK140" s="9"/>
    </row>
    <row r="141" spans="2:63" x14ac:dyDescent="0.25">
      <c r="B141" s="9" t="str">
        <f t="shared" si="46"/>
        <v>GLI</v>
      </c>
      <c r="C141" s="17" t="s">
        <v>260</v>
      </c>
      <c r="D141" s="17" t="s">
        <v>316</v>
      </c>
      <c r="F141" s="37" t="s">
        <v>329</v>
      </c>
      <c r="J141" s="9">
        <v>30</v>
      </c>
      <c r="L141" s="39" t="str">
        <f t="shared" si="41"/>
        <v>Kiểm tra lại lại trạm và địa hình</v>
      </c>
      <c r="M141" s="39" t="str">
        <f t="shared" si="42"/>
        <v>Kiểm tra loại cột</v>
      </c>
      <c r="N141" s="39" t="str">
        <f t="shared" si="43"/>
        <v>Kiểm tra loại cột</v>
      </c>
      <c r="O141" s="39" t="str">
        <f t="shared" si="44"/>
        <v>Kiểm tra loại nhà</v>
      </c>
      <c r="P141" s="37" t="s">
        <v>328</v>
      </c>
      <c r="T141" s="43" t="str">
        <f>IFERROR(VLOOKUP(U141,#REF!,2,0),"")</f>
        <v/>
      </c>
      <c r="V141" s="43" t="str">
        <f t="shared" ca="1" si="47"/>
        <v/>
      </c>
      <c r="Y141" s="43" t="str">
        <f t="shared" ca="1" si="48"/>
        <v/>
      </c>
      <c r="Z141" s="39" t="str">
        <f>IFERROR(VLOOKUP(AA141,#REF!,2,0),"")</f>
        <v/>
      </c>
      <c r="AB141" s="14"/>
      <c r="AD141" s="43" t="str">
        <f t="shared" ca="1" si="49"/>
        <v/>
      </c>
      <c r="AI141" s="43" t="str">
        <f t="shared" ca="1" si="50"/>
        <v/>
      </c>
      <c r="AN141" s="49" t="e">
        <f t="shared" si="51"/>
        <v>#VALUE!</v>
      </c>
      <c r="BA141" s="12" t="str">
        <f t="shared" si="52"/>
        <v>chưa PS</v>
      </c>
      <c r="BD141" s="12">
        <f t="shared" ca="1" si="38"/>
        <v>43150</v>
      </c>
      <c r="BF141" s="12">
        <f t="shared" ca="1" si="39"/>
        <v>43150</v>
      </c>
      <c r="BG141" s="9" t="str">
        <f t="shared" ca="1" si="40"/>
        <v>Trong hạn</v>
      </c>
      <c r="BH141" s="9"/>
      <c r="BI141" s="9"/>
      <c r="BJ141" s="9"/>
      <c r="BK141" s="9"/>
    </row>
    <row r="142" spans="2:63" x14ac:dyDescent="0.25">
      <c r="B142" s="9" t="str">
        <f t="shared" si="46"/>
        <v>GLI</v>
      </c>
      <c r="C142" s="17" t="s">
        <v>261</v>
      </c>
      <c r="D142" s="17" t="s">
        <v>317</v>
      </c>
      <c r="F142" s="37" t="s">
        <v>329</v>
      </c>
      <c r="I142" s="37" t="s">
        <v>18</v>
      </c>
      <c r="J142" s="9">
        <v>18</v>
      </c>
      <c r="L142" s="39" t="str">
        <f t="shared" si="41"/>
        <v>Kiểm tra lại lại trạm và địa hình</v>
      </c>
      <c r="M142" s="39">
        <f t="shared" si="42"/>
        <v>7</v>
      </c>
      <c r="N142" s="39">
        <f t="shared" si="43"/>
        <v>10</v>
      </c>
      <c r="O142" s="39" t="str">
        <f t="shared" si="44"/>
        <v>Kiểm tra loại nhà</v>
      </c>
      <c r="P142" s="37" t="s">
        <v>328</v>
      </c>
      <c r="R142" s="10"/>
      <c r="T142" s="43" t="str">
        <f>IFERROR(VLOOKUP(U142,#REF!,2,0),"")</f>
        <v/>
      </c>
      <c r="V142" s="43" t="str">
        <f t="shared" ca="1" si="47"/>
        <v/>
      </c>
      <c r="Y142" s="43" t="str">
        <f t="shared" ca="1" si="48"/>
        <v/>
      </c>
      <c r="Z142" s="39" t="str">
        <f>IFERROR(VLOOKUP(AA142,#REF!,2,0),"")</f>
        <v/>
      </c>
      <c r="AB142" s="14"/>
      <c r="AD142" s="43" t="str">
        <f t="shared" ca="1" si="49"/>
        <v>Quá hạn</v>
      </c>
      <c r="AI142" s="43" t="str">
        <f t="shared" ca="1" si="50"/>
        <v/>
      </c>
      <c r="AN142" s="49" t="e">
        <f t="shared" si="51"/>
        <v>#VALUE!</v>
      </c>
      <c r="BA142" s="12" t="str">
        <f t="shared" si="52"/>
        <v>chưa PS</v>
      </c>
      <c r="BD142" s="12">
        <f t="shared" ca="1" si="38"/>
        <v>43150</v>
      </c>
      <c r="BF142" s="12">
        <f t="shared" ca="1" si="39"/>
        <v>43150</v>
      </c>
      <c r="BG142" s="9" t="str">
        <f t="shared" ca="1" si="40"/>
        <v>Trong hạn</v>
      </c>
      <c r="BH142" s="9"/>
      <c r="BI142" s="9"/>
      <c r="BJ142" s="9"/>
      <c r="BK142" s="9"/>
    </row>
    <row r="143" spans="2:63" x14ac:dyDescent="0.25">
      <c r="B143" s="9" t="str">
        <f t="shared" si="46"/>
        <v>GLI</v>
      </c>
      <c r="C143" s="17" t="s">
        <v>262</v>
      </c>
      <c r="D143" s="17" t="s">
        <v>318</v>
      </c>
      <c r="F143" s="37" t="s">
        <v>329</v>
      </c>
      <c r="I143" s="37" t="s">
        <v>18</v>
      </c>
      <c r="J143" s="9">
        <v>18</v>
      </c>
      <c r="L143" s="39" t="str">
        <f t="shared" si="41"/>
        <v>Kiểm tra lại lại trạm và địa hình</v>
      </c>
      <c r="M143" s="39">
        <f t="shared" si="42"/>
        <v>7</v>
      </c>
      <c r="N143" s="39">
        <f t="shared" si="43"/>
        <v>10</v>
      </c>
      <c r="O143" s="39" t="str">
        <f t="shared" si="44"/>
        <v>Kiểm tra loại nhà</v>
      </c>
      <c r="P143" s="37" t="s">
        <v>328</v>
      </c>
      <c r="R143" s="10"/>
      <c r="T143" s="43" t="str">
        <f>IFERROR(VLOOKUP(U143,#REF!,2,0),"")</f>
        <v/>
      </c>
      <c r="V143" s="43" t="str">
        <f t="shared" ca="1" si="47"/>
        <v/>
      </c>
      <c r="Y143" s="43" t="str">
        <f t="shared" ca="1" si="48"/>
        <v/>
      </c>
      <c r="Z143" s="39" t="str">
        <f>IFERROR(VLOOKUP(AA143,#REF!,2,0),"")</f>
        <v/>
      </c>
      <c r="AB143" s="14"/>
      <c r="AD143" s="43" t="str">
        <f t="shared" ca="1" si="49"/>
        <v>Quá hạn</v>
      </c>
      <c r="AI143" s="43" t="str">
        <f t="shared" ca="1" si="50"/>
        <v/>
      </c>
      <c r="AN143" s="49" t="e">
        <f t="shared" si="51"/>
        <v>#VALUE!</v>
      </c>
      <c r="BA143" s="12" t="str">
        <f t="shared" si="52"/>
        <v>chưa PS</v>
      </c>
      <c r="BD143" s="12">
        <f t="shared" ca="1" si="38"/>
        <v>43150</v>
      </c>
      <c r="BF143" s="12">
        <f t="shared" ca="1" si="39"/>
        <v>43150</v>
      </c>
      <c r="BG143" s="9" t="str">
        <f t="shared" ca="1" si="40"/>
        <v>Trong hạn</v>
      </c>
      <c r="BH143" s="9"/>
      <c r="BI143" s="9"/>
      <c r="BJ143" s="9"/>
      <c r="BK143" s="9"/>
    </row>
    <row r="144" spans="2:63" x14ac:dyDescent="0.25">
      <c r="B144" s="9" t="str">
        <f t="shared" si="46"/>
        <v>KHA</v>
      </c>
      <c r="C144" s="19" t="s">
        <v>263</v>
      </c>
      <c r="D144" s="19" t="s">
        <v>319</v>
      </c>
      <c r="F144" s="37" t="s">
        <v>329</v>
      </c>
      <c r="J144" s="9">
        <v>24</v>
      </c>
      <c r="L144" s="39" t="str">
        <f t="shared" si="41"/>
        <v>Kiểm tra lại lại trạm và địa hình</v>
      </c>
      <c r="M144" s="39" t="str">
        <f t="shared" si="42"/>
        <v>Kiểm tra loại cột</v>
      </c>
      <c r="N144" s="39" t="str">
        <f t="shared" si="43"/>
        <v>Kiểm tra loại cột</v>
      </c>
      <c r="O144" s="39" t="str">
        <f t="shared" si="44"/>
        <v>Kiểm tra loại nhà</v>
      </c>
      <c r="P144" s="37" t="s">
        <v>328</v>
      </c>
      <c r="T144" s="43" t="str">
        <f>IFERROR(VLOOKUP(U144,#REF!,2,0),"")</f>
        <v/>
      </c>
      <c r="V144" s="43" t="str">
        <f t="shared" ca="1" si="47"/>
        <v/>
      </c>
      <c r="Y144" s="43" t="str">
        <f t="shared" ca="1" si="48"/>
        <v/>
      </c>
      <c r="Z144" s="39" t="str">
        <f>IFERROR(VLOOKUP(AA144,#REF!,2,0),"")</f>
        <v/>
      </c>
      <c r="AB144" s="14"/>
      <c r="AD144" s="43" t="str">
        <f t="shared" ca="1" si="49"/>
        <v/>
      </c>
      <c r="AI144" s="43" t="str">
        <f t="shared" ca="1" si="50"/>
        <v/>
      </c>
      <c r="AN144" s="49" t="e">
        <f t="shared" si="51"/>
        <v>#VALUE!</v>
      </c>
      <c r="BA144" s="12" t="str">
        <f t="shared" si="52"/>
        <v>chưa PS</v>
      </c>
      <c r="BD144" s="12">
        <f t="shared" ca="1" si="38"/>
        <v>43150</v>
      </c>
      <c r="BF144" s="12">
        <f t="shared" ca="1" si="39"/>
        <v>43150</v>
      </c>
      <c r="BG144" s="9" t="str">
        <f t="shared" ca="1" si="40"/>
        <v>Trong hạn</v>
      </c>
      <c r="BH144" s="9"/>
      <c r="BI144" s="9"/>
      <c r="BJ144" s="9"/>
      <c r="BK144" s="9"/>
    </row>
    <row r="145" spans="2:63" x14ac:dyDescent="0.25">
      <c r="B145" s="9" t="str">
        <f t="shared" si="46"/>
        <v>KHA</v>
      </c>
      <c r="C145" s="19" t="s">
        <v>264</v>
      </c>
      <c r="D145" s="19" t="s">
        <v>320</v>
      </c>
      <c r="F145" s="37" t="s">
        <v>329</v>
      </c>
      <c r="I145" s="37" t="s">
        <v>18</v>
      </c>
      <c r="J145" s="9">
        <v>18</v>
      </c>
      <c r="L145" s="39" t="str">
        <f t="shared" si="41"/>
        <v>Kiểm tra lại lại trạm và địa hình</v>
      </c>
      <c r="M145" s="39">
        <f t="shared" si="42"/>
        <v>7</v>
      </c>
      <c r="N145" s="39">
        <f t="shared" si="43"/>
        <v>10</v>
      </c>
      <c r="O145" s="39" t="str">
        <f t="shared" si="44"/>
        <v>Kiểm tra loại nhà</v>
      </c>
      <c r="P145" s="37" t="s">
        <v>328</v>
      </c>
      <c r="R145" s="10"/>
      <c r="T145" s="43" t="str">
        <f>IFERROR(VLOOKUP(U145,#REF!,2,0),"")</f>
        <v/>
      </c>
      <c r="V145" s="43" t="str">
        <f t="shared" ca="1" si="47"/>
        <v/>
      </c>
      <c r="Y145" s="43" t="str">
        <f t="shared" ca="1" si="48"/>
        <v/>
      </c>
      <c r="Z145" s="39" t="str">
        <f>IFERROR(VLOOKUP(AA145,#REF!,2,0),"")</f>
        <v/>
      </c>
      <c r="AB145" s="14"/>
      <c r="AD145" s="43" t="str">
        <f t="shared" ca="1" si="49"/>
        <v>Quá hạn</v>
      </c>
      <c r="AI145" s="43" t="str">
        <f t="shared" ca="1" si="50"/>
        <v/>
      </c>
      <c r="AN145" s="49" t="e">
        <f t="shared" si="51"/>
        <v>#VALUE!</v>
      </c>
      <c r="BA145" s="12" t="str">
        <f t="shared" si="52"/>
        <v>chưa PS</v>
      </c>
      <c r="BD145" s="12">
        <f t="shared" ca="1" si="38"/>
        <v>43150</v>
      </c>
      <c r="BF145" s="12">
        <f t="shared" ca="1" si="39"/>
        <v>43150</v>
      </c>
      <c r="BG145" s="9" t="str">
        <f t="shared" ca="1" si="40"/>
        <v>Trong hạn</v>
      </c>
      <c r="BH145" s="9"/>
      <c r="BI145" s="9"/>
      <c r="BJ145" s="9"/>
      <c r="BK145" s="9"/>
    </row>
    <row r="146" spans="2:63" x14ac:dyDescent="0.25">
      <c r="B146" s="9" t="str">
        <f t="shared" si="46"/>
        <v>KHA</v>
      </c>
      <c r="C146" s="19" t="s">
        <v>265</v>
      </c>
      <c r="D146" s="26" t="s">
        <v>321</v>
      </c>
      <c r="F146" s="37" t="s">
        <v>329</v>
      </c>
      <c r="J146" s="9">
        <v>48</v>
      </c>
      <c r="L146" s="39" t="str">
        <f t="shared" si="41"/>
        <v>Kiểm tra lại lại trạm và địa hình</v>
      </c>
      <c r="M146" s="39" t="str">
        <f t="shared" si="42"/>
        <v>Kiểm tra loại cột</v>
      </c>
      <c r="N146" s="39" t="str">
        <f t="shared" si="43"/>
        <v>Kiểm tra loại cột</v>
      </c>
      <c r="O146" s="39" t="str">
        <f t="shared" si="44"/>
        <v>Kiểm tra loại nhà</v>
      </c>
      <c r="P146" s="37" t="s">
        <v>328</v>
      </c>
      <c r="T146" s="43" t="str">
        <f>IFERROR(VLOOKUP(U146,#REF!,2,0),"")</f>
        <v/>
      </c>
      <c r="V146" s="43" t="str">
        <f t="shared" ca="1" si="47"/>
        <v/>
      </c>
      <c r="Y146" s="43" t="str">
        <f t="shared" ca="1" si="48"/>
        <v/>
      </c>
      <c r="Z146" s="39" t="str">
        <f>IFERROR(VLOOKUP(AA146,#REF!,2,0),"")</f>
        <v/>
      </c>
      <c r="AB146" s="14"/>
      <c r="AD146" s="43" t="str">
        <f t="shared" ca="1" si="49"/>
        <v/>
      </c>
      <c r="AI146" s="43" t="str">
        <f t="shared" ca="1" si="50"/>
        <v/>
      </c>
      <c r="AN146" s="49" t="e">
        <f t="shared" si="51"/>
        <v>#VALUE!</v>
      </c>
      <c r="BA146" s="12" t="str">
        <f t="shared" si="52"/>
        <v>chưa PS</v>
      </c>
      <c r="BD146" s="12">
        <f t="shared" ca="1" si="38"/>
        <v>43150</v>
      </c>
      <c r="BF146" s="12">
        <f t="shared" ca="1" si="39"/>
        <v>43150</v>
      </c>
      <c r="BG146" s="9" t="str">
        <f t="shared" ca="1" si="40"/>
        <v>Trong hạn</v>
      </c>
      <c r="BH146" s="9"/>
      <c r="BI146" s="9"/>
      <c r="BJ146" s="9"/>
      <c r="BK146" s="9"/>
    </row>
    <row r="147" spans="2:63" x14ac:dyDescent="0.25">
      <c r="B147" s="9" t="str">
        <f t="shared" si="46"/>
        <v>QNM</v>
      </c>
      <c r="C147" s="21" t="s">
        <v>266</v>
      </c>
      <c r="D147" s="21" t="s">
        <v>266</v>
      </c>
      <c r="F147" s="37" t="s">
        <v>329</v>
      </c>
      <c r="I147" s="37" t="s">
        <v>18</v>
      </c>
      <c r="J147" s="9">
        <v>18</v>
      </c>
      <c r="K147" s="37" t="s">
        <v>215</v>
      </c>
      <c r="L147" s="39" t="str">
        <f t="shared" si="41"/>
        <v>Kiểm tra lại lại trạm và địa hình</v>
      </c>
      <c r="M147" s="39">
        <f t="shared" si="42"/>
        <v>7</v>
      </c>
      <c r="N147" s="39">
        <f t="shared" si="43"/>
        <v>10</v>
      </c>
      <c r="O147" s="39" t="str">
        <f t="shared" si="44"/>
        <v>Kiểm tra loại nhà</v>
      </c>
      <c r="P147" s="37" t="s">
        <v>328</v>
      </c>
      <c r="R147" s="10"/>
      <c r="T147" s="43" t="str">
        <f>IFERROR(VLOOKUP(U147,#REF!,2,0),"")</f>
        <v/>
      </c>
      <c r="V147" s="43" t="str">
        <f t="shared" ca="1" si="47"/>
        <v/>
      </c>
      <c r="Y147" s="43" t="str">
        <f t="shared" ca="1" si="48"/>
        <v/>
      </c>
      <c r="Z147" s="39" t="str">
        <f>IFERROR(VLOOKUP(AA147,#REF!,2,0),"")</f>
        <v/>
      </c>
      <c r="AB147" s="14"/>
      <c r="AD147" s="43" t="str">
        <f t="shared" ca="1" si="49"/>
        <v>Quá hạn</v>
      </c>
      <c r="AI147" s="43" t="str">
        <f t="shared" ca="1" si="50"/>
        <v/>
      </c>
      <c r="AN147" s="49" t="e">
        <f t="shared" si="51"/>
        <v>#VALUE!</v>
      </c>
      <c r="BA147" s="12" t="str">
        <f t="shared" si="52"/>
        <v>chưa PS</v>
      </c>
      <c r="BD147" s="12">
        <f t="shared" ca="1" si="38"/>
        <v>43150</v>
      </c>
      <c r="BF147" s="12">
        <f t="shared" ca="1" si="39"/>
        <v>43150</v>
      </c>
      <c r="BG147" s="9" t="str">
        <f t="shared" ca="1" si="40"/>
        <v>Trong hạn</v>
      </c>
      <c r="BH147" s="9"/>
      <c r="BI147" s="9"/>
      <c r="BJ147" s="9"/>
      <c r="BK147" s="9"/>
    </row>
    <row r="148" spans="2:63" x14ac:dyDescent="0.25">
      <c r="B148" s="9" t="str">
        <f t="shared" si="46"/>
        <v>QNM</v>
      </c>
      <c r="C148" s="18" t="s">
        <v>267</v>
      </c>
      <c r="D148" s="18" t="s">
        <v>267</v>
      </c>
      <c r="F148" s="37" t="s">
        <v>329</v>
      </c>
      <c r="I148" s="37" t="s">
        <v>18</v>
      </c>
      <c r="J148" s="9">
        <v>30</v>
      </c>
      <c r="L148" s="39" t="str">
        <f t="shared" si="41"/>
        <v>Kiểm tra lại lại trạm và địa hình</v>
      </c>
      <c r="M148" s="39" t="str">
        <f t="shared" si="42"/>
        <v>Kiểm tra loại cột</v>
      </c>
      <c r="N148" s="39" t="str">
        <f t="shared" si="43"/>
        <v>Kiểm tra loại cột</v>
      </c>
      <c r="O148" s="39" t="str">
        <f t="shared" si="44"/>
        <v>Kiểm tra loại nhà</v>
      </c>
      <c r="P148" s="37" t="s">
        <v>328</v>
      </c>
      <c r="R148" s="10"/>
      <c r="T148" s="43" t="str">
        <f>IFERROR(VLOOKUP(U148,#REF!,2,0),"")</f>
        <v/>
      </c>
      <c r="V148" s="43" t="str">
        <f t="shared" ca="1" si="47"/>
        <v/>
      </c>
      <c r="Y148" s="43" t="str">
        <f t="shared" ca="1" si="48"/>
        <v/>
      </c>
      <c r="Z148" s="39" t="str">
        <f>IFERROR(VLOOKUP(AA148,#REF!,2,0),"")</f>
        <v/>
      </c>
      <c r="AB148" s="14"/>
      <c r="AD148" s="43" t="str">
        <f t="shared" ca="1" si="49"/>
        <v/>
      </c>
      <c r="AI148" s="43" t="str">
        <f t="shared" ca="1" si="50"/>
        <v/>
      </c>
      <c r="AN148" s="49" t="e">
        <f t="shared" si="51"/>
        <v>#VALUE!</v>
      </c>
      <c r="BA148" s="12" t="str">
        <f t="shared" si="52"/>
        <v>chưa PS</v>
      </c>
      <c r="BD148" s="12">
        <f t="shared" ca="1" si="38"/>
        <v>43150</v>
      </c>
      <c r="BF148" s="12">
        <f t="shared" ca="1" si="39"/>
        <v>43150</v>
      </c>
      <c r="BG148" s="9" t="str">
        <f t="shared" ca="1" si="40"/>
        <v>Trong hạn</v>
      </c>
      <c r="BH148" s="9"/>
      <c r="BI148" s="9"/>
      <c r="BJ148" s="9"/>
      <c r="BK148" s="9"/>
    </row>
    <row r="149" spans="2:63" x14ac:dyDescent="0.25">
      <c r="B149" s="9" t="str">
        <f t="shared" si="46"/>
        <v>QNM</v>
      </c>
      <c r="C149" s="24" t="s">
        <v>268</v>
      </c>
      <c r="D149" s="24" t="s">
        <v>322</v>
      </c>
      <c r="F149" s="37" t="s">
        <v>16</v>
      </c>
      <c r="J149" s="9">
        <v>0</v>
      </c>
      <c r="K149" s="37" t="s">
        <v>215</v>
      </c>
      <c r="L149" s="39" t="str">
        <f t="shared" si="41"/>
        <v>Kiểm tra lại lại trạm và địa hình</v>
      </c>
      <c r="M149" s="39" t="str">
        <f t="shared" si="42"/>
        <v>Kiểm tra loại cột</v>
      </c>
      <c r="N149" s="39" t="str">
        <f t="shared" si="43"/>
        <v>Kiểm tra loại cột</v>
      </c>
      <c r="O149" s="39" t="str">
        <f t="shared" si="44"/>
        <v>Kiểm tra loại nhà</v>
      </c>
      <c r="P149" s="37" t="s">
        <v>328</v>
      </c>
      <c r="T149" s="43" t="str">
        <f>IFERROR(VLOOKUP(U149,#REF!,2,0),"")</f>
        <v/>
      </c>
      <c r="V149" s="43" t="str">
        <f t="shared" ca="1" si="47"/>
        <v/>
      </c>
      <c r="Y149" s="43" t="str">
        <f t="shared" ca="1" si="48"/>
        <v/>
      </c>
      <c r="Z149" s="39" t="str">
        <f>IFERROR(VLOOKUP(AA149,#REF!,2,0),"")</f>
        <v/>
      </c>
      <c r="AB149" s="14"/>
      <c r="AD149" s="43" t="str">
        <f t="shared" ca="1" si="49"/>
        <v/>
      </c>
      <c r="AI149" s="43" t="str">
        <f t="shared" ca="1" si="50"/>
        <v/>
      </c>
      <c r="AN149" s="49" t="e">
        <f t="shared" si="51"/>
        <v>#VALUE!</v>
      </c>
      <c r="BA149" s="12" t="str">
        <f t="shared" si="52"/>
        <v>chưa PS</v>
      </c>
      <c r="BD149" s="12">
        <f t="shared" ca="1" si="38"/>
        <v>43150</v>
      </c>
      <c r="BF149" s="12">
        <f t="shared" ca="1" si="39"/>
        <v>43150</v>
      </c>
      <c r="BG149" s="9" t="str">
        <f t="shared" ca="1" si="40"/>
        <v>Trong hạn</v>
      </c>
      <c r="BH149" s="9"/>
      <c r="BI149" s="9"/>
      <c r="BJ149" s="9"/>
      <c r="BK149" s="9"/>
    </row>
    <row r="150" spans="2:63" x14ac:dyDescent="0.25">
      <c r="B150" s="9" t="str">
        <f t="shared" si="46"/>
        <v>QNM</v>
      </c>
      <c r="C150" s="18" t="s">
        <v>269</v>
      </c>
      <c r="D150" s="18" t="s">
        <v>269</v>
      </c>
      <c r="F150" s="37" t="s">
        <v>329</v>
      </c>
      <c r="J150" s="9">
        <v>30</v>
      </c>
      <c r="L150" s="39" t="str">
        <f t="shared" si="41"/>
        <v>Kiểm tra lại lại trạm và địa hình</v>
      </c>
      <c r="M150" s="39" t="str">
        <f t="shared" si="42"/>
        <v>Kiểm tra loại cột</v>
      </c>
      <c r="N150" s="39" t="str">
        <f t="shared" si="43"/>
        <v>Kiểm tra loại cột</v>
      </c>
      <c r="O150" s="39" t="str">
        <f t="shared" si="44"/>
        <v>Kiểm tra loại nhà</v>
      </c>
      <c r="P150" s="37" t="s">
        <v>328</v>
      </c>
      <c r="T150" s="43" t="str">
        <f>IFERROR(VLOOKUP(U150,#REF!,2,0),"")</f>
        <v/>
      </c>
      <c r="V150" s="43" t="str">
        <f t="shared" ca="1" si="47"/>
        <v/>
      </c>
      <c r="Y150" s="43" t="str">
        <f t="shared" ca="1" si="48"/>
        <v/>
      </c>
      <c r="Z150" s="39" t="str">
        <f>IFERROR(VLOOKUP(AA150,#REF!,2,0),"")</f>
        <v/>
      </c>
      <c r="AB150" s="14"/>
      <c r="AD150" s="43" t="str">
        <f t="shared" ca="1" si="49"/>
        <v/>
      </c>
      <c r="AI150" s="43" t="str">
        <f t="shared" ca="1" si="50"/>
        <v/>
      </c>
      <c r="AN150" s="49" t="e">
        <f t="shared" si="51"/>
        <v>#VALUE!</v>
      </c>
      <c r="BA150" s="12" t="str">
        <f t="shared" si="52"/>
        <v>chưa PS</v>
      </c>
      <c r="BD150" s="12">
        <f t="shared" ca="1" si="38"/>
        <v>43150</v>
      </c>
      <c r="BF150" s="12">
        <f t="shared" ca="1" si="39"/>
        <v>43150</v>
      </c>
      <c r="BG150" s="9" t="str">
        <f t="shared" ca="1" si="40"/>
        <v>Trong hạn</v>
      </c>
      <c r="BH150" s="9"/>
      <c r="BI150" s="9"/>
      <c r="BJ150" s="9"/>
      <c r="BK150" s="9"/>
    </row>
    <row r="151" spans="2:63" x14ac:dyDescent="0.25">
      <c r="B151" s="9" t="str">
        <f t="shared" si="46"/>
        <v>QNM</v>
      </c>
      <c r="C151" s="18" t="s">
        <v>270</v>
      </c>
      <c r="D151" s="18" t="s">
        <v>270</v>
      </c>
      <c r="F151" s="37" t="s">
        <v>329</v>
      </c>
      <c r="J151" s="9">
        <v>42</v>
      </c>
      <c r="L151" s="39" t="str">
        <f t="shared" si="41"/>
        <v>Kiểm tra lại lại trạm và địa hình</v>
      </c>
      <c r="M151" s="39" t="str">
        <f t="shared" si="42"/>
        <v>Kiểm tra loại cột</v>
      </c>
      <c r="N151" s="39" t="str">
        <f t="shared" si="43"/>
        <v>Kiểm tra loại cột</v>
      </c>
      <c r="O151" s="39" t="str">
        <f t="shared" si="44"/>
        <v>Kiểm tra loại nhà</v>
      </c>
      <c r="P151" s="37" t="s">
        <v>328</v>
      </c>
      <c r="T151" s="43" t="str">
        <f>IFERROR(VLOOKUP(U151,#REF!,2,0),"")</f>
        <v/>
      </c>
      <c r="V151" s="43" t="str">
        <f t="shared" ca="1" si="47"/>
        <v/>
      </c>
      <c r="Y151" s="43" t="str">
        <f t="shared" ca="1" si="48"/>
        <v/>
      </c>
      <c r="Z151" s="39" t="str">
        <f>IFERROR(VLOOKUP(AA151,#REF!,2,0),"")</f>
        <v/>
      </c>
      <c r="AB151" s="14"/>
      <c r="AD151" s="43" t="str">
        <f t="shared" ca="1" si="49"/>
        <v/>
      </c>
      <c r="AI151" s="43" t="str">
        <f t="shared" ca="1" si="50"/>
        <v/>
      </c>
      <c r="AN151" s="49" t="e">
        <f t="shared" si="51"/>
        <v>#VALUE!</v>
      </c>
      <c r="BA151" s="12" t="str">
        <f t="shared" si="52"/>
        <v>chưa PS</v>
      </c>
      <c r="BD151" s="12">
        <f t="shared" ca="1" si="38"/>
        <v>43150</v>
      </c>
      <c r="BF151" s="12">
        <f t="shared" ca="1" si="39"/>
        <v>43150</v>
      </c>
      <c r="BG151" s="9" t="str">
        <f t="shared" ca="1" si="40"/>
        <v>Trong hạn</v>
      </c>
      <c r="BH151" s="9"/>
      <c r="BI151" s="9"/>
      <c r="BJ151" s="9"/>
      <c r="BK151" s="9"/>
    </row>
    <row r="152" spans="2:63" x14ac:dyDescent="0.25">
      <c r="B152" s="9" t="str">
        <f t="shared" si="46"/>
        <v>QNM</v>
      </c>
      <c r="C152" s="18" t="s">
        <v>271</v>
      </c>
      <c r="D152" s="18" t="s">
        <v>271</v>
      </c>
      <c r="F152" s="37" t="s">
        <v>329</v>
      </c>
      <c r="J152" s="9">
        <v>42</v>
      </c>
      <c r="L152" s="39" t="str">
        <f t="shared" si="41"/>
        <v>Kiểm tra lại lại trạm và địa hình</v>
      </c>
      <c r="M152" s="39" t="str">
        <f t="shared" si="42"/>
        <v>Kiểm tra loại cột</v>
      </c>
      <c r="N152" s="39" t="str">
        <f t="shared" si="43"/>
        <v>Kiểm tra loại cột</v>
      </c>
      <c r="O152" s="39" t="str">
        <f t="shared" si="44"/>
        <v>Kiểm tra loại nhà</v>
      </c>
      <c r="P152" s="37" t="s">
        <v>328</v>
      </c>
      <c r="T152" s="43" t="str">
        <f>IFERROR(VLOOKUP(U152,#REF!,2,0),"")</f>
        <v/>
      </c>
      <c r="V152" s="43" t="str">
        <f t="shared" ca="1" si="47"/>
        <v/>
      </c>
      <c r="Y152" s="43" t="str">
        <f t="shared" ca="1" si="48"/>
        <v/>
      </c>
      <c r="Z152" s="39" t="str">
        <f>IFERROR(VLOOKUP(AA152,#REF!,2,0),"")</f>
        <v/>
      </c>
      <c r="AB152" s="14"/>
      <c r="AD152" s="43" t="str">
        <f t="shared" ca="1" si="49"/>
        <v/>
      </c>
      <c r="AI152" s="43" t="str">
        <f t="shared" ca="1" si="50"/>
        <v/>
      </c>
      <c r="AN152" s="49" t="e">
        <f t="shared" si="51"/>
        <v>#VALUE!</v>
      </c>
      <c r="BA152" s="12" t="str">
        <f t="shared" si="52"/>
        <v>chưa PS</v>
      </c>
      <c r="BD152" s="12">
        <f t="shared" ca="1" si="38"/>
        <v>43150</v>
      </c>
      <c r="BF152" s="12">
        <f t="shared" ca="1" si="39"/>
        <v>43150</v>
      </c>
      <c r="BG152" s="9" t="str">
        <f t="shared" ca="1" si="40"/>
        <v>Trong hạn</v>
      </c>
      <c r="BH152" s="9"/>
      <c r="BI152" s="9"/>
      <c r="BJ152" s="9"/>
      <c r="BK152" s="9"/>
    </row>
    <row r="153" spans="2:63" x14ac:dyDescent="0.25">
      <c r="B153" s="9" t="str">
        <f t="shared" si="46"/>
        <v>QNM</v>
      </c>
      <c r="C153" s="18" t="s">
        <v>272</v>
      </c>
      <c r="D153" s="18" t="s">
        <v>323</v>
      </c>
      <c r="F153" s="37" t="s">
        <v>329</v>
      </c>
      <c r="J153" s="9">
        <v>0</v>
      </c>
      <c r="L153" s="39" t="str">
        <f t="shared" si="41"/>
        <v>Kiểm tra lại lại trạm và địa hình</v>
      </c>
      <c r="M153" s="39" t="str">
        <f t="shared" si="42"/>
        <v>Kiểm tra loại cột</v>
      </c>
      <c r="N153" s="39" t="str">
        <f t="shared" si="43"/>
        <v>Kiểm tra loại cột</v>
      </c>
      <c r="O153" s="39" t="str">
        <f t="shared" si="44"/>
        <v>Kiểm tra loại nhà</v>
      </c>
      <c r="P153" s="37" t="s">
        <v>328</v>
      </c>
      <c r="T153" s="43" t="str">
        <f>IFERROR(VLOOKUP(U153,#REF!,2,0),"")</f>
        <v/>
      </c>
      <c r="V153" s="43" t="str">
        <f t="shared" ca="1" si="47"/>
        <v/>
      </c>
      <c r="Y153" s="43" t="str">
        <f t="shared" ca="1" si="48"/>
        <v/>
      </c>
      <c r="Z153" s="39" t="str">
        <f>IFERROR(VLOOKUP(AA153,#REF!,2,0),"")</f>
        <v/>
      </c>
      <c r="AB153" s="14"/>
      <c r="AD153" s="43" t="str">
        <f t="shared" ca="1" si="49"/>
        <v/>
      </c>
      <c r="AI153" s="43" t="str">
        <f t="shared" ca="1" si="50"/>
        <v/>
      </c>
      <c r="AN153" s="49" t="e">
        <f t="shared" si="51"/>
        <v>#VALUE!</v>
      </c>
      <c r="BA153" s="12" t="str">
        <f t="shared" si="52"/>
        <v>chưa PS</v>
      </c>
      <c r="BD153" s="12">
        <f t="shared" ca="1" si="38"/>
        <v>43150</v>
      </c>
      <c r="BF153" s="12">
        <f t="shared" ca="1" si="39"/>
        <v>43150</v>
      </c>
      <c r="BG153" s="9" t="str">
        <f t="shared" ca="1" si="40"/>
        <v>Trong hạn</v>
      </c>
      <c r="BH153" s="9"/>
      <c r="BI153" s="9"/>
      <c r="BJ153" s="9"/>
      <c r="BK153" s="9"/>
    </row>
    <row r="154" spans="2:63" x14ac:dyDescent="0.25">
      <c r="B154" s="9" t="str">
        <f t="shared" si="46"/>
        <v>QNM</v>
      </c>
      <c r="C154" s="18" t="s">
        <v>273</v>
      </c>
      <c r="D154" s="18" t="s">
        <v>273</v>
      </c>
      <c r="F154" s="37" t="s">
        <v>329</v>
      </c>
      <c r="J154" s="9">
        <v>42</v>
      </c>
      <c r="L154" s="39" t="str">
        <f t="shared" si="41"/>
        <v>Kiểm tra lại lại trạm và địa hình</v>
      </c>
      <c r="M154" s="39" t="str">
        <f t="shared" si="42"/>
        <v>Kiểm tra loại cột</v>
      </c>
      <c r="N154" s="39" t="str">
        <f t="shared" si="43"/>
        <v>Kiểm tra loại cột</v>
      </c>
      <c r="O154" s="39" t="str">
        <f t="shared" si="44"/>
        <v>Kiểm tra loại nhà</v>
      </c>
      <c r="P154" s="37" t="s">
        <v>328</v>
      </c>
      <c r="T154" s="43" t="str">
        <f>IFERROR(VLOOKUP(U154,#REF!,2,0),"")</f>
        <v/>
      </c>
      <c r="V154" s="43" t="str">
        <f t="shared" ca="1" si="47"/>
        <v/>
      </c>
      <c r="Y154" s="43" t="str">
        <f t="shared" ca="1" si="48"/>
        <v/>
      </c>
      <c r="Z154" s="39" t="str">
        <f>IFERROR(VLOOKUP(AA154,#REF!,2,0),"")</f>
        <v/>
      </c>
      <c r="AB154" s="14"/>
      <c r="AD154" s="43" t="str">
        <f t="shared" ca="1" si="49"/>
        <v/>
      </c>
      <c r="AI154" s="43" t="str">
        <f t="shared" ca="1" si="50"/>
        <v/>
      </c>
      <c r="AN154" s="49" t="e">
        <f t="shared" si="51"/>
        <v>#VALUE!</v>
      </c>
      <c r="BA154" s="12" t="str">
        <f t="shared" si="52"/>
        <v>chưa PS</v>
      </c>
      <c r="BD154" s="12">
        <f t="shared" ca="1" si="38"/>
        <v>43150</v>
      </c>
      <c r="BF154" s="12">
        <f t="shared" ca="1" si="39"/>
        <v>43150</v>
      </c>
      <c r="BG154" s="9" t="str">
        <f t="shared" ca="1" si="40"/>
        <v>Trong hạn</v>
      </c>
      <c r="BH154" s="9"/>
      <c r="BI154" s="9"/>
      <c r="BJ154" s="9"/>
      <c r="BK154" s="9"/>
    </row>
    <row r="155" spans="2:63" x14ac:dyDescent="0.25">
      <c r="B155" s="9" t="str">
        <f t="shared" si="46"/>
        <v>QNM</v>
      </c>
      <c r="C155" s="18" t="s">
        <v>274</v>
      </c>
      <c r="D155" s="18" t="s">
        <v>324</v>
      </c>
      <c r="F155" s="37" t="s">
        <v>329</v>
      </c>
      <c r="J155" s="9">
        <v>0</v>
      </c>
      <c r="L155" s="39" t="str">
        <f t="shared" si="41"/>
        <v>Kiểm tra lại lại trạm và địa hình</v>
      </c>
      <c r="M155" s="39" t="str">
        <f t="shared" si="42"/>
        <v>Kiểm tra loại cột</v>
      </c>
      <c r="N155" s="39" t="str">
        <f t="shared" si="43"/>
        <v>Kiểm tra loại cột</v>
      </c>
      <c r="O155" s="39" t="str">
        <f t="shared" si="44"/>
        <v>Kiểm tra loại nhà</v>
      </c>
      <c r="P155" s="37" t="s">
        <v>328</v>
      </c>
      <c r="T155" s="43" t="str">
        <f>IFERROR(VLOOKUP(U155,#REF!,2,0),"")</f>
        <v/>
      </c>
      <c r="V155" s="43" t="str">
        <f t="shared" ca="1" si="47"/>
        <v/>
      </c>
      <c r="Y155" s="43" t="str">
        <f t="shared" ca="1" si="48"/>
        <v/>
      </c>
      <c r="Z155" s="39" t="str">
        <f>IFERROR(VLOOKUP(AA155,#REF!,2,0),"")</f>
        <v/>
      </c>
      <c r="AB155" s="14"/>
      <c r="AD155" s="43" t="str">
        <f t="shared" ca="1" si="49"/>
        <v/>
      </c>
      <c r="AI155" s="43" t="str">
        <f t="shared" ca="1" si="50"/>
        <v/>
      </c>
      <c r="AN155" s="49" t="e">
        <f t="shared" si="51"/>
        <v>#VALUE!</v>
      </c>
      <c r="BA155" s="12" t="str">
        <f t="shared" si="52"/>
        <v>chưa PS</v>
      </c>
      <c r="BD155" s="12">
        <f t="shared" ca="1" si="38"/>
        <v>43150</v>
      </c>
      <c r="BF155" s="12">
        <f t="shared" ca="1" si="39"/>
        <v>43150</v>
      </c>
      <c r="BG155" s="9" t="str">
        <f t="shared" ca="1" si="40"/>
        <v>Trong hạn</v>
      </c>
      <c r="BH155" s="9"/>
      <c r="BI155" s="9"/>
      <c r="BJ155" s="9"/>
      <c r="BK155" s="9"/>
    </row>
    <row r="156" spans="2:63" x14ac:dyDescent="0.25">
      <c r="B156" s="9" t="str">
        <f t="shared" si="46"/>
        <v>QNM</v>
      </c>
      <c r="C156" s="18" t="s">
        <v>275</v>
      </c>
      <c r="D156" s="18" t="s">
        <v>275</v>
      </c>
      <c r="F156" s="37" t="s">
        <v>329</v>
      </c>
      <c r="J156" s="9">
        <v>30</v>
      </c>
      <c r="L156" s="39" t="str">
        <f t="shared" si="41"/>
        <v>Kiểm tra lại lại trạm và địa hình</v>
      </c>
      <c r="M156" s="39" t="str">
        <f t="shared" si="42"/>
        <v>Kiểm tra loại cột</v>
      </c>
      <c r="N156" s="39" t="str">
        <f t="shared" si="43"/>
        <v>Kiểm tra loại cột</v>
      </c>
      <c r="O156" s="39" t="str">
        <f t="shared" si="44"/>
        <v>Kiểm tra loại nhà</v>
      </c>
      <c r="P156" s="37" t="s">
        <v>328</v>
      </c>
      <c r="T156" s="43" t="str">
        <f>IFERROR(VLOOKUP(U156,#REF!,2,0),"")</f>
        <v/>
      </c>
      <c r="V156" s="43" t="str">
        <f t="shared" ca="1" si="47"/>
        <v/>
      </c>
      <c r="Y156" s="43" t="str">
        <f t="shared" ca="1" si="48"/>
        <v/>
      </c>
      <c r="Z156" s="39" t="str">
        <f>IFERROR(VLOOKUP(AA156,#REF!,2,0),"")</f>
        <v/>
      </c>
      <c r="AB156" s="14"/>
      <c r="AD156" s="43" t="str">
        <f t="shared" ca="1" si="49"/>
        <v/>
      </c>
      <c r="AI156" s="43" t="str">
        <f t="shared" ca="1" si="50"/>
        <v/>
      </c>
      <c r="AN156" s="49" t="e">
        <f t="shared" si="51"/>
        <v>#VALUE!</v>
      </c>
      <c r="BA156" s="12" t="str">
        <f t="shared" si="52"/>
        <v>chưa PS</v>
      </c>
      <c r="BD156" s="12">
        <f t="shared" ca="1" si="38"/>
        <v>43150</v>
      </c>
      <c r="BF156" s="12">
        <f t="shared" ca="1" si="39"/>
        <v>43150</v>
      </c>
      <c r="BG156" s="9" t="str">
        <f t="shared" ca="1" si="40"/>
        <v>Trong hạn</v>
      </c>
      <c r="BH156" s="9"/>
      <c r="BI156" s="9"/>
      <c r="BJ156" s="9"/>
      <c r="BK156" s="9"/>
    </row>
    <row r="157" spans="2:63" x14ac:dyDescent="0.25">
      <c r="B157" s="9" t="str">
        <f t="shared" si="46"/>
        <v>DLK</v>
      </c>
      <c r="C157" s="25" t="s">
        <v>276</v>
      </c>
      <c r="D157" s="25" t="str">
        <f t="shared" ref="D157:D161" si="53">C157</f>
        <v>DLK_EHO_SmallCell_02</v>
      </c>
      <c r="F157" s="37" t="s">
        <v>329</v>
      </c>
      <c r="I157" s="37" t="s">
        <v>18</v>
      </c>
      <c r="J157" s="9">
        <v>18</v>
      </c>
      <c r="K157" s="37" t="s">
        <v>215</v>
      </c>
      <c r="L157" s="39" t="str">
        <f t="shared" si="41"/>
        <v>Kiểm tra lại lại trạm và địa hình</v>
      </c>
      <c r="M157" s="39">
        <f t="shared" si="42"/>
        <v>7</v>
      </c>
      <c r="N157" s="39">
        <f t="shared" si="43"/>
        <v>10</v>
      </c>
      <c r="O157" s="39" t="str">
        <f t="shared" si="44"/>
        <v>Kiểm tra loại nhà</v>
      </c>
      <c r="P157" s="37" t="s">
        <v>328</v>
      </c>
      <c r="R157" s="10"/>
      <c r="T157" s="43" t="str">
        <f>IFERROR(VLOOKUP(U157,#REF!,2,0),"")</f>
        <v/>
      </c>
      <c r="V157" s="43" t="str">
        <f t="shared" ca="1" si="47"/>
        <v/>
      </c>
      <c r="Y157" s="43" t="str">
        <f t="shared" ca="1" si="48"/>
        <v/>
      </c>
      <c r="Z157" s="39" t="str">
        <f>IFERROR(VLOOKUP(AA157,#REF!,2,0),"")</f>
        <v/>
      </c>
      <c r="AB157" s="14"/>
      <c r="AD157" s="43" t="str">
        <f t="shared" ca="1" si="49"/>
        <v>Quá hạn</v>
      </c>
      <c r="AI157" s="43" t="str">
        <f t="shared" ca="1" si="50"/>
        <v/>
      </c>
      <c r="AN157" s="49" t="e">
        <f t="shared" si="51"/>
        <v>#VALUE!</v>
      </c>
      <c r="BA157" s="12" t="str">
        <f t="shared" si="52"/>
        <v>chưa PS</v>
      </c>
      <c r="BD157" s="12">
        <f t="shared" ca="1" si="38"/>
        <v>43150</v>
      </c>
      <c r="BF157" s="12">
        <f t="shared" ca="1" si="39"/>
        <v>43150</v>
      </c>
      <c r="BG157" s="9" t="str">
        <f t="shared" ca="1" si="40"/>
        <v>Trong hạn</v>
      </c>
      <c r="BH157" s="9"/>
      <c r="BI157" s="9"/>
      <c r="BJ157" s="9"/>
      <c r="BK157" s="9"/>
    </row>
    <row r="158" spans="2:63" x14ac:dyDescent="0.25">
      <c r="B158" s="9" t="str">
        <f t="shared" si="46"/>
        <v>DLK</v>
      </c>
      <c r="C158" s="25" t="s">
        <v>277</v>
      </c>
      <c r="D158" s="25" t="str">
        <f t="shared" si="53"/>
        <v>DLK_EHO_RRU_01</v>
      </c>
      <c r="F158" s="37" t="s">
        <v>329</v>
      </c>
      <c r="I158" s="37" t="s">
        <v>18</v>
      </c>
      <c r="J158" s="9">
        <v>18</v>
      </c>
      <c r="L158" s="39" t="str">
        <f t="shared" si="41"/>
        <v>Kiểm tra lại lại trạm và địa hình</v>
      </c>
      <c r="M158" s="39">
        <f t="shared" si="42"/>
        <v>7</v>
      </c>
      <c r="N158" s="39">
        <f t="shared" si="43"/>
        <v>10</v>
      </c>
      <c r="O158" s="39" t="str">
        <f t="shared" si="44"/>
        <v>Kiểm tra loại nhà</v>
      </c>
      <c r="P158" s="37" t="s">
        <v>328</v>
      </c>
      <c r="R158" s="10"/>
      <c r="T158" s="43" t="str">
        <f>IFERROR(VLOOKUP(U158,#REF!,2,0),"")</f>
        <v/>
      </c>
      <c r="V158" s="43" t="str">
        <f t="shared" ca="1" si="47"/>
        <v/>
      </c>
      <c r="Y158" s="43" t="str">
        <f t="shared" ca="1" si="48"/>
        <v/>
      </c>
      <c r="Z158" s="39" t="str">
        <f>IFERROR(VLOOKUP(AA158,#REF!,2,0),"")</f>
        <v/>
      </c>
      <c r="AB158" s="14"/>
      <c r="AD158" s="43" t="str">
        <f t="shared" ca="1" si="49"/>
        <v>Quá hạn</v>
      </c>
      <c r="AI158" s="43" t="str">
        <f t="shared" ca="1" si="50"/>
        <v/>
      </c>
      <c r="AN158" s="49" t="e">
        <f t="shared" si="51"/>
        <v>#VALUE!</v>
      </c>
      <c r="BA158" s="12" t="str">
        <f t="shared" si="52"/>
        <v>chưa PS</v>
      </c>
      <c r="BD158" s="12">
        <f t="shared" ca="1" si="38"/>
        <v>43150</v>
      </c>
      <c r="BF158" s="12">
        <f t="shared" ca="1" si="39"/>
        <v>43150</v>
      </c>
      <c r="BG158" s="9" t="str">
        <f t="shared" ca="1" si="40"/>
        <v>Trong hạn</v>
      </c>
      <c r="BH158" s="9"/>
      <c r="BI158" s="9"/>
      <c r="BJ158" s="9"/>
      <c r="BK158" s="9"/>
    </row>
    <row r="159" spans="2:63" x14ac:dyDescent="0.25">
      <c r="B159" s="9" t="str">
        <f t="shared" si="46"/>
        <v>DLK</v>
      </c>
      <c r="C159" s="25" t="s">
        <v>278</v>
      </c>
      <c r="D159" s="25" t="str">
        <f t="shared" si="53"/>
        <v>DLK_EHO_RRU_03</v>
      </c>
      <c r="F159" s="37" t="s">
        <v>329</v>
      </c>
      <c r="I159" s="37" t="s">
        <v>18</v>
      </c>
      <c r="J159" s="9">
        <v>18</v>
      </c>
      <c r="L159" s="39" t="str">
        <f t="shared" si="41"/>
        <v>Kiểm tra lại lại trạm và địa hình</v>
      </c>
      <c r="M159" s="39">
        <f t="shared" si="42"/>
        <v>7</v>
      </c>
      <c r="N159" s="39">
        <f t="shared" si="43"/>
        <v>10</v>
      </c>
      <c r="O159" s="39" t="str">
        <f t="shared" si="44"/>
        <v>Kiểm tra loại nhà</v>
      </c>
      <c r="P159" s="37" t="s">
        <v>328</v>
      </c>
      <c r="R159" s="10"/>
      <c r="T159" s="43" t="str">
        <f>IFERROR(VLOOKUP(U159,#REF!,2,0),"")</f>
        <v/>
      </c>
      <c r="V159" s="43" t="str">
        <f t="shared" ca="1" si="47"/>
        <v/>
      </c>
      <c r="Y159" s="43" t="str">
        <f t="shared" ca="1" si="48"/>
        <v/>
      </c>
      <c r="Z159" s="39" t="str">
        <f>IFERROR(VLOOKUP(AA159,#REF!,2,0),"")</f>
        <v/>
      </c>
      <c r="AB159" s="14"/>
      <c r="AD159" s="43" t="str">
        <f t="shared" ca="1" si="49"/>
        <v>Quá hạn</v>
      </c>
      <c r="AI159" s="43" t="str">
        <f t="shared" ca="1" si="50"/>
        <v/>
      </c>
      <c r="AN159" s="49" t="e">
        <f t="shared" si="51"/>
        <v>#VALUE!</v>
      </c>
      <c r="BA159" s="12" t="str">
        <f t="shared" si="52"/>
        <v>chưa PS</v>
      </c>
      <c r="BD159" s="12">
        <f t="shared" ca="1" si="38"/>
        <v>43150</v>
      </c>
      <c r="BF159" s="12">
        <f t="shared" ca="1" si="39"/>
        <v>43150</v>
      </c>
      <c r="BG159" s="9" t="str">
        <f t="shared" ca="1" si="40"/>
        <v>Trong hạn</v>
      </c>
      <c r="BH159" s="9"/>
      <c r="BI159" s="9"/>
      <c r="BJ159" s="9"/>
      <c r="BK159" s="9"/>
    </row>
    <row r="160" spans="2:63" x14ac:dyDescent="0.25">
      <c r="B160" s="9" t="str">
        <f t="shared" si="46"/>
        <v>QNM</v>
      </c>
      <c r="C160" s="25" t="s">
        <v>279</v>
      </c>
      <c r="D160" s="25" t="str">
        <f t="shared" si="53"/>
        <v>QNM_NTH_RRU_01</v>
      </c>
      <c r="F160" s="37" t="s">
        <v>329</v>
      </c>
      <c r="I160" s="37" t="s">
        <v>18</v>
      </c>
      <c r="J160" s="9">
        <v>18</v>
      </c>
      <c r="L160" s="39" t="str">
        <f t="shared" si="41"/>
        <v>Kiểm tra lại lại trạm và địa hình</v>
      </c>
      <c r="M160" s="39">
        <f t="shared" si="42"/>
        <v>7</v>
      </c>
      <c r="N160" s="39">
        <f t="shared" si="43"/>
        <v>10</v>
      </c>
      <c r="O160" s="39" t="str">
        <f t="shared" si="44"/>
        <v>Kiểm tra loại nhà</v>
      </c>
      <c r="P160" s="37" t="s">
        <v>328</v>
      </c>
      <c r="R160" s="10"/>
      <c r="T160" s="43" t="str">
        <f>IFERROR(VLOOKUP(U160,#REF!,2,0),"")</f>
        <v/>
      </c>
      <c r="V160" s="43" t="str">
        <f t="shared" ca="1" si="47"/>
        <v/>
      </c>
      <c r="Y160" s="43" t="str">
        <f t="shared" ca="1" si="48"/>
        <v/>
      </c>
      <c r="Z160" s="39" t="str">
        <f>IFERROR(VLOOKUP(AA160,#REF!,2,0),"")</f>
        <v/>
      </c>
      <c r="AB160" s="14"/>
      <c r="AD160" s="43" t="str">
        <f t="shared" ca="1" si="49"/>
        <v>Quá hạn</v>
      </c>
      <c r="AI160" s="43" t="str">
        <f t="shared" ca="1" si="50"/>
        <v/>
      </c>
      <c r="AN160" s="49" t="e">
        <f t="shared" si="51"/>
        <v>#VALUE!</v>
      </c>
      <c r="BA160" s="12" t="str">
        <f t="shared" si="52"/>
        <v>chưa PS</v>
      </c>
      <c r="BD160" s="12">
        <f t="shared" ref="BD160:BD182" ca="1" si="54">IF(AZ160="",TODAY()-W160,AZ160-W160)</f>
        <v>43150</v>
      </c>
      <c r="BF160" s="12">
        <f t="shared" ref="BF160:BF182" ca="1" si="55">BD160-BE160</f>
        <v>43150</v>
      </c>
      <c r="BG160" s="9" t="str">
        <f t="shared" ref="BG160:BG182" ca="1" si="56">IF(BF160&lt;L160,"Trong hạn","Quá hạn")</f>
        <v>Trong hạn</v>
      </c>
      <c r="BH160" s="9"/>
      <c r="BI160" s="9"/>
      <c r="BJ160" s="9"/>
      <c r="BK160" s="9"/>
    </row>
    <row r="161" spans="2:63" x14ac:dyDescent="0.25">
      <c r="B161" s="9" t="str">
        <f t="shared" si="46"/>
        <v>QNM</v>
      </c>
      <c r="C161" s="25" t="s">
        <v>280</v>
      </c>
      <c r="D161" s="25" t="str">
        <f t="shared" si="53"/>
        <v>QNM_NTH_RRU_02</v>
      </c>
      <c r="F161" s="37" t="s">
        <v>329</v>
      </c>
      <c r="I161" s="37" t="s">
        <v>18</v>
      </c>
      <c r="J161" s="9">
        <v>18</v>
      </c>
      <c r="L161" s="39" t="str">
        <f t="shared" ref="L161:L182" si="57">IF(G161="Trên mái",30,IF(AND(G161="Dưới đất",H161="Đồng bằng"),45,IF(AND(G161="Dưới đất",H161="Miền núi"),60,IF(AND(G161="Cột tự đứng",H161="Ven biển"),150,"Kiểm tra lại lại trạm và địa hình"))))</f>
        <v>Kiểm tra lại lại trạm và địa hình</v>
      </c>
      <c r="M161" s="39">
        <f t="shared" ref="M161:M182" si="58">IF(AND(I161=600,J161&lt;19),7,IF(AND(I161="BTLT",J161&lt;23),7,IF(I161="Cóc",5,IF(G161="Trên mái",7,IF(AND(G161="Dưới đất",J161&lt;49),10,IF(AND(G161="Dưới đất",J161&gt;49),12,"Kiểm tra loại cột"))))))</f>
        <v>7</v>
      </c>
      <c r="N161" s="39">
        <f t="shared" ref="N161:N182" si="59">IF(AND(I161=600,J161&lt;19),14,IF(AND(I161="BTLT",J161&lt;23),10,IF(I161="Cóc",10,IF(G161="Trên mái",14,IF(AND(G161="Dưới đất",J161&lt;49),20,IF(AND(G161="Dưới đất",J161&gt;49),23,"Kiểm tra loại cột"))))))</f>
        <v>10</v>
      </c>
      <c r="O161" s="39" t="str">
        <f t="shared" ref="O161:O182" si="60">IF(OR(AND(G161="Trên mái",K161="Cont"),AND(G161="Trên mái",K161="Xây")),25,IF(OR(AND(G161="Dưới đất",K161="Cont"),AND(G161="Dưới đất",K161="Xây")),30,IF(K161="Cải tạo",7,IF(K161="CS",2,IF(K161="DC Mini",1,IF(K161="Minishelter",N161+3,"Kiểm tra loại nhà"))))))</f>
        <v>Kiểm tra loại nhà</v>
      </c>
      <c r="P161" s="37" t="s">
        <v>328</v>
      </c>
      <c r="R161" s="10"/>
      <c r="T161" s="43" t="str">
        <f>IFERROR(VLOOKUP(U161,#REF!,2,0),"")</f>
        <v/>
      </c>
      <c r="V161" s="43" t="str">
        <f t="shared" ca="1" si="47"/>
        <v/>
      </c>
      <c r="Y161" s="43" t="str">
        <f t="shared" ca="1" si="48"/>
        <v/>
      </c>
      <c r="Z161" s="39" t="str">
        <f>IFERROR(VLOOKUP(AA161,#REF!,2,0),"")</f>
        <v/>
      </c>
      <c r="AB161" s="14"/>
      <c r="AD161" s="43" t="str">
        <f t="shared" ca="1" si="49"/>
        <v>Quá hạn</v>
      </c>
      <c r="AI161" s="43" t="str">
        <f t="shared" ca="1" si="50"/>
        <v/>
      </c>
      <c r="AN161" s="49" t="e">
        <f t="shared" si="51"/>
        <v>#VALUE!</v>
      </c>
      <c r="BA161" s="12" t="str">
        <f t="shared" si="52"/>
        <v>chưa PS</v>
      </c>
      <c r="BD161" s="12">
        <f t="shared" ca="1" si="54"/>
        <v>43150</v>
      </c>
      <c r="BF161" s="12">
        <f t="shared" ca="1" si="55"/>
        <v>43150</v>
      </c>
      <c r="BG161" s="9" t="str">
        <f t="shared" ca="1" si="56"/>
        <v>Trong hạn</v>
      </c>
      <c r="BH161" s="9"/>
      <c r="BI161" s="9"/>
      <c r="BJ161" s="9"/>
      <c r="BK161" s="9"/>
    </row>
    <row r="162" spans="2:63" x14ac:dyDescent="0.25">
      <c r="B162" s="9" t="str">
        <f t="shared" si="46"/>
        <v>QNM</v>
      </c>
      <c r="C162" s="25" t="s">
        <v>281</v>
      </c>
      <c r="D162" s="25" t="str">
        <f>C162</f>
        <v>QNM_NTH_RRU_03</v>
      </c>
      <c r="F162" s="37" t="s">
        <v>329</v>
      </c>
      <c r="I162" s="37" t="s">
        <v>18</v>
      </c>
      <c r="J162" s="9">
        <v>18</v>
      </c>
      <c r="L162" s="39" t="str">
        <f t="shared" si="57"/>
        <v>Kiểm tra lại lại trạm và địa hình</v>
      </c>
      <c r="M162" s="39">
        <f t="shared" si="58"/>
        <v>7</v>
      </c>
      <c r="N162" s="39">
        <f t="shared" si="59"/>
        <v>10</v>
      </c>
      <c r="O162" s="39" t="str">
        <f t="shared" si="60"/>
        <v>Kiểm tra loại nhà</v>
      </c>
      <c r="P162" s="37" t="s">
        <v>328</v>
      </c>
      <c r="R162" s="10"/>
      <c r="T162" s="43" t="str">
        <f>IFERROR(VLOOKUP(U162,#REF!,2,0),"")</f>
        <v/>
      </c>
      <c r="V162" s="43" t="str">
        <f t="shared" ca="1" si="47"/>
        <v/>
      </c>
      <c r="Y162" s="43" t="str">
        <f t="shared" ca="1" si="48"/>
        <v/>
      </c>
      <c r="Z162" s="39" t="str">
        <f>IFERROR(VLOOKUP(AA162,#REF!,2,0),"")</f>
        <v/>
      </c>
      <c r="AB162" s="14"/>
      <c r="AD162" s="43" t="str">
        <f t="shared" ca="1" si="49"/>
        <v>Quá hạn</v>
      </c>
      <c r="AI162" s="43" t="str">
        <f t="shared" ca="1" si="50"/>
        <v/>
      </c>
      <c r="AN162" s="49" t="e">
        <f t="shared" si="51"/>
        <v>#VALUE!</v>
      </c>
      <c r="BA162" s="12" t="str">
        <f t="shared" si="52"/>
        <v>chưa PS</v>
      </c>
      <c r="BD162" s="12">
        <f t="shared" ca="1" si="54"/>
        <v>43150</v>
      </c>
      <c r="BF162" s="12">
        <f t="shared" ca="1" si="55"/>
        <v>43150</v>
      </c>
      <c r="BG162" s="9" t="str">
        <f t="shared" ca="1" si="56"/>
        <v>Trong hạn</v>
      </c>
      <c r="BH162" s="9"/>
      <c r="BI162" s="9"/>
      <c r="BJ162" s="9"/>
      <c r="BK162" s="9"/>
    </row>
    <row r="163" spans="2:63" x14ac:dyDescent="0.25">
      <c r="B163" s="9" t="str">
        <f t="shared" si="46"/>
        <v>QNM</v>
      </c>
      <c r="C163" s="25" t="s">
        <v>282</v>
      </c>
      <c r="D163" s="25" t="str">
        <f>C163</f>
        <v>QNM_NTH_RRU_04</v>
      </c>
      <c r="F163" s="37" t="s">
        <v>329</v>
      </c>
      <c r="I163" s="37" t="s">
        <v>18</v>
      </c>
      <c r="J163" s="9">
        <v>18</v>
      </c>
      <c r="L163" s="39" t="str">
        <f t="shared" si="57"/>
        <v>Kiểm tra lại lại trạm và địa hình</v>
      </c>
      <c r="M163" s="39">
        <f t="shared" si="58"/>
        <v>7</v>
      </c>
      <c r="N163" s="39">
        <f t="shared" si="59"/>
        <v>10</v>
      </c>
      <c r="O163" s="39" t="str">
        <f t="shared" si="60"/>
        <v>Kiểm tra loại nhà</v>
      </c>
      <c r="P163" s="37" t="s">
        <v>328</v>
      </c>
      <c r="R163" s="10"/>
      <c r="T163" s="43" t="str">
        <f>IFERROR(VLOOKUP(U163,#REF!,2,0),"")</f>
        <v/>
      </c>
      <c r="V163" s="43" t="str">
        <f t="shared" ca="1" si="47"/>
        <v/>
      </c>
      <c r="Y163" s="43" t="str">
        <f t="shared" ca="1" si="48"/>
        <v/>
      </c>
      <c r="Z163" s="39" t="str">
        <f>IFERROR(VLOOKUP(AA163,#REF!,2,0),"")</f>
        <v/>
      </c>
      <c r="AB163" s="14"/>
      <c r="AD163" s="43" t="str">
        <f t="shared" ca="1" si="49"/>
        <v>Quá hạn</v>
      </c>
      <c r="AI163" s="43" t="str">
        <f t="shared" ca="1" si="50"/>
        <v/>
      </c>
      <c r="AN163" s="49" t="e">
        <f t="shared" si="51"/>
        <v>#VALUE!</v>
      </c>
      <c r="BA163" s="12" t="str">
        <f t="shared" si="52"/>
        <v>chưa PS</v>
      </c>
      <c r="BD163" s="12">
        <f t="shared" ca="1" si="54"/>
        <v>43150</v>
      </c>
      <c r="BF163" s="12">
        <f t="shared" ca="1" si="55"/>
        <v>43150</v>
      </c>
      <c r="BG163" s="9" t="str">
        <f t="shared" ca="1" si="56"/>
        <v>Trong hạn</v>
      </c>
      <c r="BH163" s="9"/>
      <c r="BI163" s="9"/>
      <c r="BJ163" s="9"/>
      <c r="BK163" s="9"/>
    </row>
    <row r="164" spans="2:63" x14ac:dyDescent="0.25">
      <c r="B164" s="9" t="str">
        <f t="shared" si="46"/>
        <v>QNM</v>
      </c>
      <c r="C164" s="25" t="s">
        <v>283</v>
      </c>
      <c r="D164" s="25" t="str">
        <f>C164</f>
        <v>QNM_NTH_SmallCell_01</v>
      </c>
      <c r="F164" s="37" t="s">
        <v>329</v>
      </c>
      <c r="I164" s="37" t="s">
        <v>18</v>
      </c>
      <c r="J164" s="9">
        <v>18</v>
      </c>
      <c r="K164" s="37" t="s">
        <v>215</v>
      </c>
      <c r="L164" s="39" t="str">
        <f t="shared" si="57"/>
        <v>Kiểm tra lại lại trạm và địa hình</v>
      </c>
      <c r="M164" s="39">
        <f t="shared" si="58"/>
        <v>7</v>
      </c>
      <c r="N164" s="39">
        <f t="shared" si="59"/>
        <v>10</v>
      </c>
      <c r="O164" s="39" t="str">
        <f t="shared" si="60"/>
        <v>Kiểm tra loại nhà</v>
      </c>
      <c r="P164" s="37" t="s">
        <v>328</v>
      </c>
      <c r="R164" s="10"/>
      <c r="T164" s="43" t="str">
        <f>IFERROR(VLOOKUP(U164,#REF!,2,0),"")</f>
        <v/>
      </c>
      <c r="V164" s="43" t="str">
        <f t="shared" ca="1" si="47"/>
        <v/>
      </c>
      <c r="Y164" s="43" t="str">
        <f t="shared" ca="1" si="48"/>
        <v/>
      </c>
      <c r="Z164" s="39" t="str">
        <f>IFERROR(VLOOKUP(AA164,#REF!,2,0),"")</f>
        <v/>
      </c>
      <c r="AB164" s="14"/>
      <c r="AD164" s="43" t="str">
        <f t="shared" ca="1" si="49"/>
        <v>Quá hạn</v>
      </c>
      <c r="AI164" s="43" t="str">
        <f t="shared" ca="1" si="50"/>
        <v/>
      </c>
      <c r="AN164" s="49" t="e">
        <f t="shared" si="51"/>
        <v>#VALUE!</v>
      </c>
      <c r="BA164" s="12" t="str">
        <f t="shared" si="52"/>
        <v>chưa PS</v>
      </c>
      <c r="BD164" s="12">
        <f t="shared" ca="1" si="54"/>
        <v>43150</v>
      </c>
      <c r="BF164" s="12">
        <f t="shared" ca="1" si="55"/>
        <v>43150</v>
      </c>
      <c r="BG164" s="9" t="str">
        <f t="shared" ca="1" si="56"/>
        <v>Trong hạn</v>
      </c>
      <c r="BH164" s="9"/>
      <c r="BI164" s="9"/>
      <c r="BJ164" s="9"/>
      <c r="BK164" s="9"/>
    </row>
    <row r="165" spans="2:63" x14ac:dyDescent="0.25">
      <c r="B165" s="9" t="str">
        <f t="shared" si="46"/>
        <v>QNM</v>
      </c>
      <c r="C165" s="25" t="s">
        <v>284</v>
      </c>
      <c r="D165" s="25" t="str">
        <f t="shared" ref="D165:D169" si="61">C165</f>
        <v>QNM_NTH_SmallCell_02</v>
      </c>
      <c r="F165" s="37" t="s">
        <v>329</v>
      </c>
      <c r="I165" s="37" t="s">
        <v>18</v>
      </c>
      <c r="J165" s="9">
        <v>18</v>
      </c>
      <c r="K165" s="37" t="s">
        <v>215</v>
      </c>
      <c r="L165" s="39" t="str">
        <f t="shared" si="57"/>
        <v>Kiểm tra lại lại trạm và địa hình</v>
      </c>
      <c r="M165" s="39">
        <f t="shared" si="58"/>
        <v>7</v>
      </c>
      <c r="N165" s="39">
        <f t="shared" si="59"/>
        <v>10</v>
      </c>
      <c r="O165" s="39" t="str">
        <f t="shared" si="60"/>
        <v>Kiểm tra loại nhà</v>
      </c>
      <c r="P165" s="37" t="s">
        <v>328</v>
      </c>
      <c r="R165" s="10"/>
      <c r="T165" s="43" t="str">
        <f>IFERROR(VLOOKUP(U165,#REF!,2,0),"")</f>
        <v/>
      </c>
      <c r="V165" s="43" t="str">
        <f t="shared" ca="1" si="47"/>
        <v/>
      </c>
      <c r="Y165" s="43" t="str">
        <f t="shared" ca="1" si="48"/>
        <v/>
      </c>
      <c r="Z165" s="39" t="str">
        <f>IFERROR(VLOOKUP(AA165,#REF!,2,0),"")</f>
        <v/>
      </c>
      <c r="AB165" s="14"/>
      <c r="AD165" s="43" t="str">
        <f t="shared" ca="1" si="49"/>
        <v>Quá hạn</v>
      </c>
      <c r="AI165" s="43" t="str">
        <f t="shared" ca="1" si="50"/>
        <v/>
      </c>
      <c r="AN165" s="49" t="e">
        <f t="shared" si="51"/>
        <v>#VALUE!</v>
      </c>
      <c r="BA165" s="12" t="str">
        <f t="shared" si="52"/>
        <v>chưa PS</v>
      </c>
      <c r="BD165" s="12">
        <f t="shared" ca="1" si="54"/>
        <v>43150</v>
      </c>
      <c r="BF165" s="12">
        <f t="shared" ca="1" si="55"/>
        <v>43150</v>
      </c>
      <c r="BG165" s="9" t="str">
        <f t="shared" ca="1" si="56"/>
        <v>Trong hạn</v>
      </c>
      <c r="BH165" s="9"/>
      <c r="BI165" s="9"/>
      <c r="BJ165" s="9"/>
      <c r="BK165" s="9"/>
    </row>
    <row r="166" spans="2:63" x14ac:dyDescent="0.25">
      <c r="B166" s="9" t="str">
        <f t="shared" si="46"/>
        <v>QNM</v>
      </c>
      <c r="C166" s="25" t="s">
        <v>285</v>
      </c>
      <c r="D166" s="25" t="str">
        <f t="shared" si="61"/>
        <v>QNM_NTH_SmallCell_03</v>
      </c>
      <c r="F166" s="37" t="s">
        <v>329</v>
      </c>
      <c r="I166" s="37" t="s">
        <v>18</v>
      </c>
      <c r="J166" s="9">
        <v>18</v>
      </c>
      <c r="K166" s="37" t="s">
        <v>215</v>
      </c>
      <c r="L166" s="39" t="str">
        <f t="shared" si="57"/>
        <v>Kiểm tra lại lại trạm và địa hình</v>
      </c>
      <c r="M166" s="39">
        <f t="shared" si="58"/>
        <v>7</v>
      </c>
      <c r="N166" s="39">
        <f t="shared" si="59"/>
        <v>10</v>
      </c>
      <c r="O166" s="39" t="str">
        <f t="shared" si="60"/>
        <v>Kiểm tra loại nhà</v>
      </c>
      <c r="P166" s="37" t="s">
        <v>328</v>
      </c>
      <c r="R166" s="10"/>
      <c r="T166" s="43" t="str">
        <f>IFERROR(VLOOKUP(U166,#REF!,2,0),"")</f>
        <v/>
      </c>
      <c r="V166" s="43" t="str">
        <f t="shared" ca="1" si="47"/>
        <v/>
      </c>
      <c r="Y166" s="43" t="str">
        <f t="shared" ca="1" si="48"/>
        <v/>
      </c>
      <c r="Z166" s="39" t="str">
        <f>IFERROR(VLOOKUP(AA166,#REF!,2,0),"")</f>
        <v/>
      </c>
      <c r="AB166" s="14"/>
      <c r="AD166" s="43" t="str">
        <f t="shared" ca="1" si="49"/>
        <v>Quá hạn</v>
      </c>
      <c r="AI166" s="43" t="str">
        <f t="shared" ca="1" si="50"/>
        <v/>
      </c>
      <c r="AN166" s="49" t="e">
        <f t="shared" si="51"/>
        <v>#VALUE!</v>
      </c>
      <c r="BA166" s="12" t="str">
        <f t="shared" si="52"/>
        <v>chưa PS</v>
      </c>
      <c r="BD166" s="12">
        <f t="shared" ca="1" si="54"/>
        <v>43150</v>
      </c>
      <c r="BF166" s="12">
        <f t="shared" ca="1" si="55"/>
        <v>43150</v>
      </c>
      <c r="BG166" s="9" t="str">
        <f t="shared" ca="1" si="56"/>
        <v>Trong hạn</v>
      </c>
      <c r="BH166" s="9"/>
      <c r="BI166" s="9"/>
      <c r="BJ166" s="9"/>
      <c r="BK166" s="9"/>
    </row>
    <row r="167" spans="2:63" x14ac:dyDescent="0.25">
      <c r="B167" s="9" t="str">
        <f t="shared" si="46"/>
        <v>QNM</v>
      </c>
      <c r="C167" s="25" t="s">
        <v>286</v>
      </c>
      <c r="D167" s="25" t="str">
        <f t="shared" si="61"/>
        <v>QNM_NTH_SmallCell_04</v>
      </c>
      <c r="F167" s="37" t="s">
        <v>329</v>
      </c>
      <c r="I167" s="37" t="s">
        <v>18</v>
      </c>
      <c r="J167" s="9">
        <v>18</v>
      </c>
      <c r="K167" s="37" t="s">
        <v>215</v>
      </c>
      <c r="L167" s="39" t="str">
        <f t="shared" si="57"/>
        <v>Kiểm tra lại lại trạm và địa hình</v>
      </c>
      <c r="M167" s="39">
        <f t="shared" si="58"/>
        <v>7</v>
      </c>
      <c r="N167" s="39">
        <f t="shared" si="59"/>
        <v>10</v>
      </c>
      <c r="O167" s="39" t="str">
        <f t="shared" si="60"/>
        <v>Kiểm tra loại nhà</v>
      </c>
      <c r="P167" s="37" t="s">
        <v>328</v>
      </c>
      <c r="R167" s="10"/>
      <c r="T167" s="43" t="str">
        <f>IFERROR(VLOOKUP(U167,#REF!,2,0),"")</f>
        <v/>
      </c>
      <c r="V167" s="43" t="str">
        <f t="shared" ca="1" si="47"/>
        <v/>
      </c>
      <c r="Y167" s="43" t="str">
        <f t="shared" ca="1" si="48"/>
        <v/>
      </c>
      <c r="Z167" s="39" t="str">
        <f>IFERROR(VLOOKUP(AA167,#REF!,2,0),"")</f>
        <v/>
      </c>
      <c r="AB167" s="14"/>
      <c r="AD167" s="43" t="str">
        <f t="shared" ca="1" si="49"/>
        <v>Quá hạn</v>
      </c>
      <c r="AI167" s="43" t="str">
        <f t="shared" ca="1" si="50"/>
        <v/>
      </c>
      <c r="AN167" s="49" t="e">
        <f t="shared" si="51"/>
        <v>#VALUE!</v>
      </c>
      <c r="BA167" s="12" t="str">
        <f t="shared" si="52"/>
        <v>chưa PS</v>
      </c>
      <c r="BD167" s="12">
        <f t="shared" ca="1" si="54"/>
        <v>43150</v>
      </c>
      <c r="BF167" s="12">
        <f t="shared" ca="1" si="55"/>
        <v>43150</v>
      </c>
      <c r="BG167" s="9" t="str">
        <f t="shared" ca="1" si="56"/>
        <v>Trong hạn</v>
      </c>
      <c r="BH167" s="9"/>
      <c r="BI167" s="9"/>
      <c r="BJ167" s="9"/>
      <c r="BK167" s="9"/>
    </row>
    <row r="168" spans="2:63" x14ac:dyDescent="0.25">
      <c r="B168" s="9" t="str">
        <f t="shared" si="46"/>
        <v>QNM</v>
      </c>
      <c r="C168" s="25" t="s">
        <v>287</v>
      </c>
      <c r="D168" s="25" t="str">
        <f t="shared" si="61"/>
        <v>QNM_NTH_SmallCell_05</v>
      </c>
      <c r="F168" s="37" t="s">
        <v>329</v>
      </c>
      <c r="I168" s="37" t="s">
        <v>18</v>
      </c>
      <c r="J168" s="9">
        <v>18</v>
      </c>
      <c r="K168" s="37" t="s">
        <v>215</v>
      </c>
      <c r="L168" s="39" t="str">
        <f t="shared" si="57"/>
        <v>Kiểm tra lại lại trạm và địa hình</v>
      </c>
      <c r="M168" s="39">
        <f t="shared" si="58"/>
        <v>7</v>
      </c>
      <c r="N168" s="39">
        <f t="shared" si="59"/>
        <v>10</v>
      </c>
      <c r="O168" s="39" t="str">
        <f t="shared" si="60"/>
        <v>Kiểm tra loại nhà</v>
      </c>
      <c r="P168" s="37" t="s">
        <v>328</v>
      </c>
      <c r="R168" s="10"/>
      <c r="T168" s="43" t="str">
        <f>IFERROR(VLOOKUP(U168,#REF!,2,0),"")</f>
        <v/>
      </c>
      <c r="V168" s="43" t="str">
        <f t="shared" ca="1" si="47"/>
        <v/>
      </c>
      <c r="Y168" s="43" t="str">
        <f t="shared" ca="1" si="48"/>
        <v/>
      </c>
      <c r="Z168" s="39" t="str">
        <f>IFERROR(VLOOKUP(AA168,#REF!,2,0),"")</f>
        <v/>
      </c>
      <c r="AB168" s="14"/>
      <c r="AD168" s="43" t="str">
        <f t="shared" ca="1" si="49"/>
        <v>Quá hạn</v>
      </c>
      <c r="AI168" s="43" t="str">
        <f t="shared" ca="1" si="50"/>
        <v/>
      </c>
      <c r="AN168" s="49" t="e">
        <f t="shared" si="51"/>
        <v>#VALUE!</v>
      </c>
      <c r="BA168" s="12" t="str">
        <f t="shared" si="52"/>
        <v>chưa PS</v>
      </c>
      <c r="BD168" s="12">
        <f t="shared" ca="1" si="54"/>
        <v>43150</v>
      </c>
      <c r="BF168" s="12">
        <f t="shared" ca="1" si="55"/>
        <v>43150</v>
      </c>
      <c r="BG168" s="9" t="str">
        <f t="shared" ca="1" si="56"/>
        <v>Trong hạn</v>
      </c>
      <c r="BH168" s="9"/>
      <c r="BI168" s="9"/>
      <c r="BJ168" s="9"/>
      <c r="BK168" s="9"/>
    </row>
    <row r="169" spans="2:63" x14ac:dyDescent="0.25">
      <c r="B169" s="9" t="str">
        <f t="shared" si="46"/>
        <v>QNM</v>
      </c>
      <c r="C169" s="25" t="s">
        <v>288</v>
      </c>
      <c r="D169" s="25" t="str">
        <f t="shared" si="61"/>
        <v>QNM_NTH_SmallCell_06</v>
      </c>
      <c r="F169" s="37" t="s">
        <v>329</v>
      </c>
      <c r="I169" s="37" t="s">
        <v>18</v>
      </c>
      <c r="J169" s="9">
        <v>18</v>
      </c>
      <c r="K169" s="37" t="s">
        <v>215</v>
      </c>
      <c r="L169" s="39" t="str">
        <f t="shared" si="57"/>
        <v>Kiểm tra lại lại trạm và địa hình</v>
      </c>
      <c r="M169" s="39">
        <f t="shared" si="58"/>
        <v>7</v>
      </c>
      <c r="N169" s="39">
        <f t="shared" si="59"/>
        <v>10</v>
      </c>
      <c r="O169" s="39" t="str">
        <f t="shared" si="60"/>
        <v>Kiểm tra loại nhà</v>
      </c>
      <c r="P169" s="37" t="s">
        <v>328</v>
      </c>
      <c r="R169" s="10"/>
      <c r="T169" s="43" t="str">
        <f>IFERROR(VLOOKUP(U169,#REF!,2,0),"")</f>
        <v/>
      </c>
      <c r="V169" s="43" t="str">
        <f t="shared" ca="1" si="47"/>
        <v/>
      </c>
      <c r="Y169" s="43" t="str">
        <f t="shared" ca="1" si="48"/>
        <v/>
      </c>
      <c r="Z169" s="39" t="str">
        <f>IFERROR(VLOOKUP(AA169,#REF!,2,0),"")</f>
        <v/>
      </c>
      <c r="AB169" s="14"/>
      <c r="AD169" s="43" t="str">
        <f t="shared" ca="1" si="49"/>
        <v>Quá hạn</v>
      </c>
      <c r="AI169" s="43" t="str">
        <f t="shared" ca="1" si="50"/>
        <v/>
      </c>
      <c r="AN169" s="49" t="e">
        <f t="shared" si="51"/>
        <v>#VALUE!</v>
      </c>
      <c r="BA169" s="12" t="str">
        <f t="shared" si="52"/>
        <v>chưa PS</v>
      </c>
      <c r="BD169" s="12">
        <f t="shared" ca="1" si="54"/>
        <v>43150</v>
      </c>
      <c r="BF169" s="12">
        <f t="shared" ca="1" si="55"/>
        <v>43150</v>
      </c>
      <c r="BG169" s="9" t="str">
        <f t="shared" ca="1" si="56"/>
        <v>Trong hạn</v>
      </c>
      <c r="BH169" s="9"/>
      <c r="BI169" s="9"/>
      <c r="BJ169" s="9"/>
      <c r="BK169" s="9"/>
    </row>
    <row r="170" spans="2:63" x14ac:dyDescent="0.25">
      <c r="B170" s="9" t="str">
        <f t="shared" si="46"/>
        <v>KTM</v>
      </c>
      <c r="C170" s="25" t="s">
        <v>289</v>
      </c>
      <c r="D170" s="25" t="s">
        <v>325</v>
      </c>
      <c r="F170" s="37" t="s">
        <v>121</v>
      </c>
      <c r="J170" s="9">
        <v>48</v>
      </c>
      <c r="L170" s="39" t="str">
        <f t="shared" si="57"/>
        <v>Kiểm tra lại lại trạm và địa hình</v>
      </c>
      <c r="M170" s="39" t="str">
        <f t="shared" si="58"/>
        <v>Kiểm tra loại cột</v>
      </c>
      <c r="N170" s="39" t="str">
        <f t="shared" si="59"/>
        <v>Kiểm tra loại cột</v>
      </c>
      <c r="O170" s="39" t="str">
        <f t="shared" si="60"/>
        <v>Kiểm tra loại nhà</v>
      </c>
      <c r="P170" s="37" t="s">
        <v>328</v>
      </c>
      <c r="T170" s="43" t="str">
        <f>IFERROR(VLOOKUP(U170,#REF!,2,0),"")</f>
        <v/>
      </c>
      <c r="V170" s="43" t="str">
        <f t="shared" ca="1" si="47"/>
        <v/>
      </c>
      <c r="Y170" s="43" t="str">
        <f t="shared" ca="1" si="48"/>
        <v/>
      </c>
      <c r="Z170" s="39" t="str">
        <f>IFERROR(VLOOKUP(AA170,#REF!,2,0),"")</f>
        <v/>
      </c>
      <c r="AB170" s="14"/>
      <c r="AD170" s="43" t="str">
        <f t="shared" ca="1" si="49"/>
        <v/>
      </c>
      <c r="AI170" s="43" t="str">
        <f t="shared" ca="1" si="50"/>
        <v/>
      </c>
      <c r="AN170" s="49" t="e">
        <f t="shared" si="51"/>
        <v>#VALUE!</v>
      </c>
      <c r="BA170" s="12" t="str">
        <f t="shared" si="52"/>
        <v>chưa PS</v>
      </c>
      <c r="BD170" s="12">
        <f t="shared" ca="1" si="54"/>
        <v>43150</v>
      </c>
      <c r="BF170" s="12">
        <f t="shared" ca="1" si="55"/>
        <v>43150</v>
      </c>
      <c r="BG170" s="9" t="str">
        <f t="shared" ca="1" si="56"/>
        <v>Trong hạn</v>
      </c>
      <c r="BH170" s="9"/>
      <c r="BI170" s="9"/>
      <c r="BJ170" s="9"/>
      <c r="BK170" s="9"/>
    </row>
    <row r="171" spans="2:63" x14ac:dyDescent="0.25">
      <c r="B171" s="9" t="str">
        <f t="shared" si="46"/>
        <v>KTM</v>
      </c>
      <c r="C171" s="25" t="s">
        <v>290</v>
      </c>
      <c r="D171" s="25" t="str">
        <f t="shared" ref="D171:D172" si="62">C171</f>
        <v>KTM_KRY_RRU_01</v>
      </c>
      <c r="F171" s="37" t="s">
        <v>329</v>
      </c>
      <c r="I171" s="37" t="s">
        <v>18</v>
      </c>
      <c r="J171" s="9">
        <v>18</v>
      </c>
      <c r="L171" s="39" t="str">
        <f t="shared" si="57"/>
        <v>Kiểm tra lại lại trạm và địa hình</v>
      </c>
      <c r="M171" s="39">
        <f t="shared" si="58"/>
        <v>7</v>
      </c>
      <c r="N171" s="39">
        <f t="shared" si="59"/>
        <v>10</v>
      </c>
      <c r="O171" s="39" t="str">
        <f t="shared" si="60"/>
        <v>Kiểm tra loại nhà</v>
      </c>
      <c r="P171" s="37" t="s">
        <v>328</v>
      </c>
      <c r="R171" s="10"/>
      <c r="T171" s="43" t="str">
        <f>IFERROR(VLOOKUP(U171,#REF!,2,0),"")</f>
        <v/>
      </c>
      <c r="V171" s="43" t="str">
        <f t="shared" ca="1" si="47"/>
        <v/>
      </c>
      <c r="Y171" s="43" t="str">
        <f t="shared" ca="1" si="48"/>
        <v/>
      </c>
      <c r="Z171" s="39" t="str">
        <f>IFERROR(VLOOKUP(AA171,#REF!,2,0),"")</f>
        <v/>
      </c>
      <c r="AB171" s="14"/>
      <c r="AD171" s="43" t="str">
        <f t="shared" ca="1" si="49"/>
        <v>Quá hạn</v>
      </c>
      <c r="AI171" s="43" t="str">
        <f t="shared" ca="1" si="50"/>
        <v/>
      </c>
      <c r="AN171" s="49" t="e">
        <f t="shared" si="51"/>
        <v>#VALUE!</v>
      </c>
      <c r="BA171" s="12" t="str">
        <f t="shared" si="52"/>
        <v>chưa PS</v>
      </c>
      <c r="BD171" s="12">
        <f t="shared" ca="1" si="54"/>
        <v>43150</v>
      </c>
      <c r="BF171" s="12">
        <f t="shared" ca="1" si="55"/>
        <v>43150</v>
      </c>
      <c r="BG171" s="9" t="str">
        <f t="shared" ca="1" si="56"/>
        <v>Trong hạn</v>
      </c>
      <c r="BH171" s="9"/>
      <c r="BI171" s="9"/>
      <c r="BJ171" s="9"/>
      <c r="BK171" s="9"/>
    </row>
    <row r="172" spans="2:63" x14ac:dyDescent="0.25">
      <c r="B172" s="9" t="str">
        <f t="shared" si="46"/>
        <v>KTM</v>
      </c>
      <c r="C172" s="25" t="s">
        <v>291</v>
      </c>
      <c r="D172" s="25" t="str">
        <f t="shared" si="62"/>
        <v>KTM_KRY_RRU_02</v>
      </c>
      <c r="F172" s="37" t="s">
        <v>329</v>
      </c>
      <c r="I172" s="37" t="s">
        <v>18</v>
      </c>
      <c r="J172" s="9">
        <v>18</v>
      </c>
      <c r="L172" s="39" t="str">
        <f t="shared" si="57"/>
        <v>Kiểm tra lại lại trạm và địa hình</v>
      </c>
      <c r="M172" s="39">
        <f t="shared" si="58"/>
        <v>7</v>
      </c>
      <c r="N172" s="39">
        <f t="shared" si="59"/>
        <v>10</v>
      </c>
      <c r="O172" s="39" t="str">
        <f t="shared" si="60"/>
        <v>Kiểm tra loại nhà</v>
      </c>
      <c r="P172" s="37" t="s">
        <v>328</v>
      </c>
      <c r="R172" s="10"/>
      <c r="T172" s="43" t="str">
        <f>IFERROR(VLOOKUP(U172,#REF!,2,0),"")</f>
        <v/>
      </c>
      <c r="V172" s="43" t="str">
        <f t="shared" ca="1" si="47"/>
        <v/>
      </c>
      <c r="Y172" s="43" t="str">
        <f t="shared" ca="1" si="48"/>
        <v/>
      </c>
      <c r="Z172" s="39" t="str">
        <f>IFERROR(VLOOKUP(AA172,#REF!,2,0),"")</f>
        <v/>
      </c>
      <c r="AB172" s="14"/>
      <c r="AD172" s="43" t="str">
        <f t="shared" ca="1" si="49"/>
        <v>Quá hạn</v>
      </c>
      <c r="AI172" s="43" t="str">
        <f t="shared" ca="1" si="50"/>
        <v/>
      </c>
      <c r="AN172" s="49" t="e">
        <f t="shared" si="51"/>
        <v>#VALUE!</v>
      </c>
      <c r="BA172" s="12" t="str">
        <f t="shared" si="52"/>
        <v>chưa PS</v>
      </c>
      <c r="BD172" s="12">
        <f t="shared" ca="1" si="54"/>
        <v>43150</v>
      </c>
      <c r="BF172" s="12">
        <f t="shared" ca="1" si="55"/>
        <v>43150</v>
      </c>
      <c r="BG172" s="9" t="str">
        <f t="shared" ca="1" si="56"/>
        <v>Trong hạn</v>
      </c>
      <c r="BH172" s="9"/>
      <c r="BI172" s="9"/>
      <c r="BJ172" s="9"/>
      <c r="BK172" s="9"/>
    </row>
    <row r="173" spans="2:63" x14ac:dyDescent="0.25">
      <c r="B173" s="9" t="str">
        <f t="shared" si="46"/>
        <v>KTM</v>
      </c>
      <c r="C173" s="20" t="s">
        <v>292</v>
      </c>
      <c r="D173" s="20" t="s">
        <v>326</v>
      </c>
      <c r="F173" s="37" t="s">
        <v>329</v>
      </c>
      <c r="J173" s="9">
        <v>60</v>
      </c>
      <c r="L173" s="39" t="str">
        <f t="shared" si="57"/>
        <v>Kiểm tra lại lại trạm và địa hình</v>
      </c>
      <c r="M173" s="39" t="str">
        <f t="shared" si="58"/>
        <v>Kiểm tra loại cột</v>
      </c>
      <c r="N173" s="39" t="str">
        <f t="shared" si="59"/>
        <v>Kiểm tra loại cột</v>
      </c>
      <c r="O173" s="39" t="str">
        <f t="shared" si="60"/>
        <v>Kiểm tra loại nhà</v>
      </c>
      <c r="P173" s="37" t="s">
        <v>328</v>
      </c>
      <c r="T173" s="43" t="str">
        <f>IFERROR(VLOOKUP(U173,#REF!,2,0),"")</f>
        <v/>
      </c>
      <c r="V173" s="43" t="str">
        <f t="shared" ca="1" si="47"/>
        <v/>
      </c>
      <c r="Y173" s="43" t="str">
        <f t="shared" ca="1" si="48"/>
        <v/>
      </c>
      <c r="Z173" s="39" t="str">
        <f>IFERROR(VLOOKUP(AA173,#REF!,2,0),"")</f>
        <v/>
      </c>
      <c r="AB173" s="14"/>
      <c r="AD173" s="43" t="str">
        <f t="shared" ca="1" si="49"/>
        <v/>
      </c>
      <c r="AI173" s="43" t="str">
        <f t="shared" ca="1" si="50"/>
        <v/>
      </c>
      <c r="AN173" s="49" t="e">
        <f t="shared" si="51"/>
        <v>#VALUE!</v>
      </c>
      <c r="BA173" s="12" t="str">
        <f t="shared" si="52"/>
        <v>chưa PS</v>
      </c>
      <c r="BD173" s="12">
        <f t="shared" ca="1" si="54"/>
        <v>43150</v>
      </c>
      <c r="BF173" s="12">
        <f t="shared" ca="1" si="55"/>
        <v>43150</v>
      </c>
      <c r="BG173" s="9" t="str">
        <f t="shared" ca="1" si="56"/>
        <v>Trong hạn</v>
      </c>
      <c r="BH173" s="9"/>
      <c r="BI173" s="9"/>
      <c r="BJ173" s="9"/>
      <c r="BK173" s="9"/>
    </row>
    <row r="174" spans="2:63" x14ac:dyDescent="0.25">
      <c r="B174" s="9" t="str">
        <f t="shared" si="46"/>
        <v>KTM</v>
      </c>
      <c r="C174" s="25" t="s">
        <v>293</v>
      </c>
      <c r="D174" s="25" t="str">
        <f>C174</f>
        <v>KTM_NHI_SmallCell_01</v>
      </c>
      <c r="F174" s="37" t="s">
        <v>329</v>
      </c>
      <c r="I174" s="37" t="s">
        <v>18</v>
      </c>
      <c r="J174" s="9">
        <v>18</v>
      </c>
      <c r="K174" s="37" t="s">
        <v>215</v>
      </c>
      <c r="L174" s="39" t="str">
        <f t="shared" si="57"/>
        <v>Kiểm tra lại lại trạm và địa hình</v>
      </c>
      <c r="M174" s="39">
        <f t="shared" si="58"/>
        <v>7</v>
      </c>
      <c r="N174" s="39">
        <f t="shared" si="59"/>
        <v>10</v>
      </c>
      <c r="O174" s="39" t="str">
        <f t="shared" si="60"/>
        <v>Kiểm tra loại nhà</v>
      </c>
      <c r="P174" s="37" t="s">
        <v>328</v>
      </c>
      <c r="R174" s="10"/>
      <c r="T174" s="43" t="str">
        <f>IFERROR(VLOOKUP(U174,#REF!,2,0),"")</f>
        <v/>
      </c>
      <c r="V174" s="43" t="str">
        <f t="shared" ca="1" si="47"/>
        <v/>
      </c>
      <c r="Y174" s="43" t="str">
        <f t="shared" ca="1" si="48"/>
        <v/>
      </c>
      <c r="Z174" s="39" t="str">
        <f>IFERROR(VLOOKUP(AA174,#REF!,2,0),"")</f>
        <v/>
      </c>
      <c r="AB174" s="14"/>
      <c r="AD174" s="43" t="str">
        <f t="shared" ca="1" si="49"/>
        <v>Quá hạn</v>
      </c>
      <c r="AI174" s="43" t="str">
        <f t="shared" ca="1" si="50"/>
        <v/>
      </c>
      <c r="AN174" s="49" t="e">
        <f t="shared" si="51"/>
        <v>#VALUE!</v>
      </c>
      <c r="BA174" s="12" t="str">
        <f t="shared" si="52"/>
        <v>chưa PS</v>
      </c>
      <c r="BD174" s="12">
        <f t="shared" ca="1" si="54"/>
        <v>43150</v>
      </c>
      <c r="BF174" s="12">
        <f t="shared" ca="1" si="55"/>
        <v>43150</v>
      </c>
      <c r="BG174" s="9" t="str">
        <f t="shared" ca="1" si="56"/>
        <v>Trong hạn</v>
      </c>
      <c r="BH174" s="9"/>
      <c r="BI174" s="9"/>
      <c r="BJ174" s="9"/>
      <c r="BK174" s="9"/>
    </row>
    <row r="175" spans="2:63" x14ac:dyDescent="0.25">
      <c r="B175" s="9" t="str">
        <f t="shared" si="46"/>
        <v>KTM</v>
      </c>
      <c r="C175" s="25" t="s">
        <v>294</v>
      </c>
      <c r="D175" s="25" t="str">
        <f>C175</f>
        <v>KTM_NHI_SmallCell_02</v>
      </c>
      <c r="F175" s="37" t="s">
        <v>329</v>
      </c>
      <c r="I175" s="37" t="s">
        <v>18</v>
      </c>
      <c r="J175" s="9">
        <v>18</v>
      </c>
      <c r="K175" s="37" t="s">
        <v>215</v>
      </c>
      <c r="L175" s="39" t="str">
        <f t="shared" si="57"/>
        <v>Kiểm tra lại lại trạm và địa hình</v>
      </c>
      <c r="M175" s="39">
        <f t="shared" si="58"/>
        <v>7</v>
      </c>
      <c r="N175" s="39">
        <f t="shared" si="59"/>
        <v>10</v>
      </c>
      <c r="O175" s="39" t="str">
        <f t="shared" si="60"/>
        <v>Kiểm tra loại nhà</v>
      </c>
      <c r="P175" s="37" t="s">
        <v>328</v>
      </c>
      <c r="R175" s="10"/>
      <c r="T175" s="43" t="str">
        <f>IFERROR(VLOOKUP(U175,#REF!,2,0),"")</f>
        <v/>
      </c>
      <c r="V175" s="43" t="str">
        <f t="shared" ca="1" si="47"/>
        <v/>
      </c>
      <c r="Y175" s="43" t="str">
        <f t="shared" ca="1" si="48"/>
        <v/>
      </c>
      <c r="Z175" s="39" t="str">
        <f>IFERROR(VLOOKUP(AA175,#REF!,2,0),"")</f>
        <v/>
      </c>
      <c r="AB175" s="14"/>
      <c r="AD175" s="43" t="str">
        <f t="shared" ca="1" si="49"/>
        <v>Quá hạn</v>
      </c>
      <c r="AI175" s="43" t="str">
        <f t="shared" ca="1" si="50"/>
        <v/>
      </c>
      <c r="AN175" s="49" t="e">
        <f t="shared" si="51"/>
        <v>#VALUE!</v>
      </c>
      <c r="BA175" s="12" t="str">
        <f t="shared" si="52"/>
        <v>chưa PS</v>
      </c>
      <c r="BD175" s="12">
        <f t="shared" ca="1" si="54"/>
        <v>43150</v>
      </c>
      <c r="BF175" s="12">
        <f t="shared" ca="1" si="55"/>
        <v>43150</v>
      </c>
      <c r="BG175" s="9" t="str">
        <f t="shared" ca="1" si="56"/>
        <v>Trong hạn</v>
      </c>
      <c r="BH175" s="9"/>
      <c r="BI175" s="9"/>
      <c r="BJ175" s="9"/>
      <c r="BK175" s="9"/>
    </row>
    <row r="176" spans="2:63" x14ac:dyDescent="0.25">
      <c r="B176" s="9" t="str">
        <f t="shared" si="46"/>
        <v>KTM</v>
      </c>
      <c r="C176" s="25" t="s">
        <v>295</v>
      </c>
      <c r="D176" s="25" t="str">
        <f>C176</f>
        <v>KTM_NHI_SmallCell_04</v>
      </c>
      <c r="F176" s="37" t="s">
        <v>329</v>
      </c>
      <c r="I176" s="37" t="s">
        <v>18</v>
      </c>
      <c r="J176" s="9">
        <v>18</v>
      </c>
      <c r="K176" s="37" t="s">
        <v>215</v>
      </c>
      <c r="L176" s="39" t="str">
        <f t="shared" si="57"/>
        <v>Kiểm tra lại lại trạm và địa hình</v>
      </c>
      <c r="M176" s="39">
        <f t="shared" si="58"/>
        <v>7</v>
      </c>
      <c r="N176" s="39">
        <f t="shared" si="59"/>
        <v>10</v>
      </c>
      <c r="O176" s="39" t="str">
        <f t="shared" si="60"/>
        <v>Kiểm tra loại nhà</v>
      </c>
      <c r="P176" s="37" t="s">
        <v>328</v>
      </c>
      <c r="R176" s="10"/>
      <c r="T176" s="43" t="str">
        <f>IFERROR(VLOOKUP(U176,#REF!,2,0),"")</f>
        <v/>
      </c>
      <c r="V176" s="43" t="str">
        <f t="shared" ca="1" si="47"/>
        <v/>
      </c>
      <c r="Y176" s="43" t="str">
        <f t="shared" ca="1" si="48"/>
        <v/>
      </c>
      <c r="Z176" s="39" t="str">
        <f>IFERROR(VLOOKUP(AA176,#REF!,2,0),"")</f>
        <v/>
      </c>
      <c r="AB176" s="14"/>
      <c r="AD176" s="43" t="str">
        <f t="shared" ca="1" si="49"/>
        <v>Quá hạn</v>
      </c>
      <c r="AI176" s="43" t="str">
        <f t="shared" ca="1" si="50"/>
        <v/>
      </c>
      <c r="AN176" s="49" t="e">
        <f t="shared" si="51"/>
        <v>#VALUE!</v>
      </c>
      <c r="BA176" s="12" t="str">
        <f t="shared" si="52"/>
        <v>chưa PS</v>
      </c>
      <c r="BD176" s="12">
        <f t="shared" ca="1" si="54"/>
        <v>43150</v>
      </c>
      <c r="BF176" s="12">
        <f t="shared" ca="1" si="55"/>
        <v>43150</v>
      </c>
      <c r="BG176" s="9" t="str">
        <f t="shared" ca="1" si="56"/>
        <v>Trong hạn</v>
      </c>
      <c r="BH176" s="9"/>
      <c r="BI176" s="9"/>
      <c r="BJ176" s="9"/>
      <c r="BK176" s="9"/>
    </row>
    <row r="177" spans="1:63" x14ac:dyDescent="0.25">
      <c r="B177" s="9" t="str">
        <f t="shared" si="46"/>
        <v>KTM</v>
      </c>
      <c r="C177" s="25" t="s">
        <v>296</v>
      </c>
      <c r="D177" s="25" t="str">
        <f>C177</f>
        <v>KTM_NHI_SmallCell_05</v>
      </c>
      <c r="F177" s="37" t="s">
        <v>329</v>
      </c>
      <c r="I177" s="37" t="s">
        <v>18</v>
      </c>
      <c r="J177" s="9">
        <v>18</v>
      </c>
      <c r="K177" s="37" t="s">
        <v>215</v>
      </c>
      <c r="L177" s="39" t="str">
        <f t="shared" si="57"/>
        <v>Kiểm tra lại lại trạm và địa hình</v>
      </c>
      <c r="M177" s="39">
        <f t="shared" si="58"/>
        <v>7</v>
      </c>
      <c r="N177" s="39">
        <f t="shared" si="59"/>
        <v>10</v>
      </c>
      <c r="O177" s="39" t="str">
        <f t="shared" si="60"/>
        <v>Kiểm tra loại nhà</v>
      </c>
      <c r="P177" s="37" t="s">
        <v>328</v>
      </c>
      <c r="R177" s="10"/>
      <c r="T177" s="43" t="str">
        <f>IFERROR(VLOOKUP(U177,#REF!,2,0),"")</f>
        <v/>
      </c>
      <c r="V177" s="43" t="str">
        <f t="shared" ca="1" si="47"/>
        <v/>
      </c>
      <c r="Y177" s="43" t="str">
        <f t="shared" ca="1" si="48"/>
        <v/>
      </c>
      <c r="Z177" s="39" t="str">
        <f>IFERROR(VLOOKUP(AA177,#REF!,2,0),"")</f>
        <v/>
      </c>
      <c r="AB177" s="14"/>
      <c r="AD177" s="43" t="str">
        <f t="shared" ca="1" si="49"/>
        <v>Quá hạn</v>
      </c>
      <c r="AI177" s="43" t="str">
        <f t="shared" ca="1" si="50"/>
        <v/>
      </c>
      <c r="AN177" s="49" t="e">
        <f t="shared" si="51"/>
        <v>#VALUE!</v>
      </c>
      <c r="BA177" s="12" t="str">
        <f t="shared" si="52"/>
        <v>chưa PS</v>
      </c>
      <c r="BD177" s="12">
        <f t="shared" ca="1" si="54"/>
        <v>43150</v>
      </c>
      <c r="BF177" s="12">
        <f t="shared" ca="1" si="55"/>
        <v>43150</v>
      </c>
      <c r="BG177" s="9" t="str">
        <f t="shared" ca="1" si="56"/>
        <v>Trong hạn</v>
      </c>
      <c r="BH177" s="9"/>
      <c r="BI177" s="9"/>
      <c r="BJ177" s="9"/>
      <c r="BK177" s="9"/>
    </row>
    <row r="178" spans="1:63" x14ac:dyDescent="0.25">
      <c r="B178" s="9" t="str">
        <f t="shared" si="46"/>
        <v>DLK</v>
      </c>
      <c r="C178" s="25" t="s">
        <v>297</v>
      </c>
      <c r="D178" s="25" t="str">
        <f t="shared" ref="D178:D181" si="63">C178</f>
        <v>DLK_BDN_RRU_03</v>
      </c>
      <c r="F178" s="37" t="s">
        <v>329</v>
      </c>
      <c r="I178" s="37" t="s">
        <v>18</v>
      </c>
      <c r="J178" s="9">
        <v>18</v>
      </c>
      <c r="L178" s="39" t="str">
        <f t="shared" si="57"/>
        <v>Kiểm tra lại lại trạm và địa hình</v>
      </c>
      <c r="M178" s="39">
        <f t="shared" si="58"/>
        <v>7</v>
      </c>
      <c r="N178" s="39">
        <f t="shared" si="59"/>
        <v>10</v>
      </c>
      <c r="O178" s="39" t="str">
        <f t="shared" si="60"/>
        <v>Kiểm tra loại nhà</v>
      </c>
      <c r="P178" s="37" t="s">
        <v>328</v>
      </c>
      <c r="R178" s="10"/>
      <c r="T178" s="43" t="str">
        <f>IFERROR(VLOOKUP(U178,#REF!,2,0),"")</f>
        <v/>
      </c>
      <c r="V178" s="43" t="str">
        <f t="shared" ca="1" si="47"/>
        <v/>
      </c>
      <c r="Y178" s="43" t="str">
        <f t="shared" ca="1" si="48"/>
        <v/>
      </c>
      <c r="Z178" s="39" t="str">
        <f>IFERROR(VLOOKUP(AA178,#REF!,2,0),"")</f>
        <v/>
      </c>
      <c r="AB178" s="14"/>
      <c r="AD178" s="43" t="str">
        <f t="shared" ca="1" si="49"/>
        <v>Quá hạn</v>
      </c>
      <c r="AI178" s="43" t="str">
        <f t="shared" ca="1" si="50"/>
        <v/>
      </c>
      <c r="AN178" s="49" t="e">
        <f t="shared" si="51"/>
        <v>#VALUE!</v>
      </c>
      <c r="BA178" s="12" t="str">
        <f t="shared" si="52"/>
        <v>chưa PS</v>
      </c>
      <c r="BD178" s="12">
        <f t="shared" ca="1" si="54"/>
        <v>43150</v>
      </c>
      <c r="BF178" s="12">
        <f t="shared" ca="1" si="55"/>
        <v>43150</v>
      </c>
      <c r="BG178" s="9" t="str">
        <f t="shared" ca="1" si="56"/>
        <v>Trong hạn</v>
      </c>
      <c r="BH178" s="9"/>
      <c r="BI178" s="9"/>
      <c r="BJ178" s="9"/>
      <c r="BK178" s="9"/>
    </row>
    <row r="179" spans="1:63" x14ac:dyDescent="0.25">
      <c r="B179" s="9" t="str">
        <f t="shared" si="46"/>
        <v>DLK</v>
      </c>
      <c r="C179" s="25" t="s">
        <v>298</v>
      </c>
      <c r="D179" s="25" t="str">
        <f>C179</f>
        <v>DLK_BDN_Site_02</v>
      </c>
      <c r="F179" s="37" t="s">
        <v>329</v>
      </c>
      <c r="J179" s="9">
        <v>42</v>
      </c>
      <c r="L179" s="39" t="str">
        <f t="shared" si="57"/>
        <v>Kiểm tra lại lại trạm và địa hình</v>
      </c>
      <c r="M179" s="39" t="str">
        <f t="shared" si="58"/>
        <v>Kiểm tra loại cột</v>
      </c>
      <c r="N179" s="39" t="str">
        <f t="shared" si="59"/>
        <v>Kiểm tra loại cột</v>
      </c>
      <c r="O179" s="39" t="str">
        <f t="shared" si="60"/>
        <v>Kiểm tra loại nhà</v>
      </c>
      <c r="P179" s="37" t="s">
        <v>328</v>
      </c>
      <c r="T179" s="43" t="str">
        <f>IFERROR(VLOOKUP(U179,#REF!,2,0),"")</f>
        <v/>
      </c>
      <c r="V179" s="43" t="str">
        <f t="shared" ca="1" si="47"/>
        <v/>
      </c>
      <c r="Y179" s="43" t="str">
        <f t="shared" ca="1" si="48"/>
        <v/>
      </c>
      <c r="Z179" s="39" t="str">
        <f>IFERROR(VLOOKUP(AA179,#REF!,2,0),"")</f>
        <v/>
      </c>
      <c r="AB179" s="14"/>
      <c r="AD179" s="43" t="str">
        <f t="shared" ca="1" si="49"/>
        <v/>
      </c>
      <c r="AI179" s="43" t="str">
        <f t="shared" ca="1" si="50"/>
        <v/>
      </c>
      <c r="AN179" s="49" t="e">
        <f t="shared" si="51"/>
        <v>#VALUE!</v>
      </c>
      <c r="BA179" s="12" t="str">
        <f t="shared" si="52"/>
        <v>chưa PS</v>
      </c>
      <c r="BD179" s="12">
        <f t="shared" ca="1" si="54"/>
        <v>43150</v>
      </c>
      <c r="BF179" s="12">
        <f t="shared" ca="1" si="55"/>
        <v>43150</v>
      </c>
      <c r="BG179" s="9" t="str">
        <f t="shared" ca="1" si="56"/>
        <v>Trong hạn</v>
      </c>
      <c r="BH179" s="9"/>
      <c r="BI179" s="9"/>
      <c r="BJ179" s="9"/>
      <c r="BK179" s="9"/>
    </row>
    <row r="180" spans="1:63" x14ac:dyDescent="0.25">
      <c r="B180" s="9" t="str">
        <f t="shared" si="46"/>
        <v>DLK</v>
      </c>
      <c r="C180" s="25" t="s">
        <v>299</v>
      </c>
      <c r="D180" s="25" t="str">
        <f t="shared" si="63"/>
        <v>DLK_MDK_RRU_01</v>
      </c>
      <c r="F180" s="37" t="s">
        <v>329</v>
      </c>
      <c r="I180" s="37" t="s">
        <v>18</v>
      </c>
      <c r="J180" s="9">
        <v>18</v>
      </c>
      <c r="L180" s="39" t="str">
        <f t="shared" si="57"/>
        <v>Kiểm tra lại lại trạm và địa hình</v>
      </c>
      <c r="M180" s="39">
        <f t="shared" si="58"/>
        <v>7</v>
      </c>
      <c r="N180" s="39">
        <f t="shared" si="59"/>
        <v>10</v>
      </c>
      <c r="O180" s="39" t="str">
        <f t="shared" si="60"/>
        <v>Kiểm tra loại nhà</v>
      </c>
      <c r="P180" s="37" t="s">
        <v>328</v>
      </c>
      <c r="R180" s="10"/>
      <c r="T180" s="43" t="str">
        <f>IFERROR(VLOOKUP(U180,#REF!,2,0),"")</f>
        <v/>
      </c>
      <c r="V180" s="43" t="str">
        <f t="shared" ca="1" si="47"/>
        <v/>
      </c>
      <c r="Y180" s="43" t="str">
        <f t="shared" ca="1" si="48"/>
        <v/>
      </c>
      <c r="Z180" s="39" t="str">
        <f>IFERROR(VLOOKUP(AA180,#REF!,2,0),"")</f>
        <v/>
      </c>
      <c r="AB180" s="14"/>
      <c r="AD180" s="43" t="str">
        <f t="shared" ca="1" si="49"/>
        <v>Quá hạn</v>
      </c>
      <c r="AI180" s="43" t="str">
        <f t="shared" ca="1" si="50"/>
        <v/>
      </c>
      <c r="AN180" s="49" t="e">
        <f t="shared" si="51"/>
        <v>#VALUE!</v>
      </c>
      <c r="BA180" s="12" t="str">
        <f t="shared" si="52"/>
        <v>chưa PS</v>
      </c>
      <c r="BD180" s="12">
        <f t="shared" ca="1" si="54"/>
        <v>43150</v>
      </c>
      <c r="BF180" s="12">
        <f t="shared" ca="1" si="55"/>
        <v>43150</v>
      </c>
      <c r="BG180" s="9" t="str">
        <f t="shared" ca="1" si="56"/>
        <v>Trong hạn</v>
      </c>
      <c r="BH180" s="9"/>
      <c r="BI180" s="9"/>
      <c r="BJ180" s="9"/>
      <c r="BK180" s="9"/>
    </row>
    <row r="181" spans="1:63" x14ac:dyDescent="0.25">
      <c r="B181" s="9" t="str">
        <f t="shared" si="46"/>
        <v>DLK</v>
      </c>
      <c r="C181" s="25" t="s">
        <v>300</v>
      </c>
      <c r="D181" s="25" t="str">
        <f t="shared" si="63"/>
        <v>DLK_MDK_RRU_02</v>
      </c>
      <c r="F181" s="37" t="s">
        <v>329</v>
      </c>
      <c r="I181" s="37" t="s">
        <v>18</v>
      </c>
      <c r="J181" s="9">
        <v>18</v>
      </c>
      <c r="L181" s="39" t="str">
        <f t="shared" si="57"/>
        <v>Kiểm tra lại lại trạm và địa hình</v>
      </c>
      <c r="M181" s="39">
        <f t="shared" si="58"/>
        <v>7</v>
      </c>
      <c r="N181" s="39">
        <f t="shared" si="59"/>
        <v>10</v>
      </c>
      <c r="O181" s="39" t="str">
        <f t="shared" si="60"/>
        <v>Kiểm tra loại nhà</v>
      </c>
      <c r="P181" s="37" t="s">
        <v>328</v>
      </c>
      <c r="R181" s="10"/>
      <c r="T181" s="43" t="str">
        <f>IFERROR(VLOOKUP(U181,#REF!,2,0),"")</f>
        <v/>
      </c>
      <c r="V181" s="43" t="str">
        <f t="shared" ca="1" si="47"/>
        <v/>
      </c>
      <c r="Y181" s="43" t="str">
        <f t="shared" ca="1" si="48"/>
        <v/>
      </c>
      <c r="Z181" s="39" t="str">
        <f>IFERROR(VLOOKUP(AA181,#REF!,2,0),"")</f>
        <v/>
      </c>
      <c r="AB181" s="14"/>
      <c r="AD181" s="43" t="str">
        <f t="shared" ca="1" si="49"/>
        <v>Quá hạn</v>
      </c>
      <c r="AI181" s="43" t="str">
        <f t="shared" ca="1" si="50"/>
        <v/>
      </c>
      <c r="AN181" s="49" t="e">
        <f t="shared" si="51"/>
        <v>#VALUE!</v>
      </c>
      <c r="BA181" s="12" t="str">
        <f t="shared" si="52"/>
        <v>chưa PS</v>
      </c>
      <c r="BD181" s="12">
        <f t="shared" ca="1" si="54"/>
        <v>43150</v>
      </c>
      <c r="BF181" s="12">
        <f t="shared" ca="1" si="55"/>
        <v>43150</v>
      </c>
      <c r="BG181" s="9" t="str">
        <f t="shared" ca="1" si="56"/>
        <v>Trong hạn</v>
      </c>
      <c r="BH181" s="9"/>
      <c r="BI181" s="9"/>
      <c r="BJ181" s="9"/>
      <c r="BK181" s="9"/>
    </row>
    <row r="182" spans="1:63" x14ac:dyDescent="0.25">
      <c r="B182" s="9" t="str">
        <f t="shared" si="46"/>
        <v>DLK</v>
      </c>
      <c r="C182" s="25" t="s">
        <v>301</v>
      </c>
      <c r="D182" s="25" t="str">
        <f>C182</f>
        <v>DLK_MDK_SmallCell_01</v>
      </c>
      <c r="F182" s="37" t="s">
        <v>329</v>
      </c>
      <c r="I182" s="37" t="s">
        <v>18</v>
      </c>
      <c r="J182" s="9">
        <v>18</v>
      </c>
      <c r="K182" s="37" t="s">
        <v>215</v>
      </c>
      <c r="L182" s="39" t="str">
        <f t="shared" si="57"/>
        <v>Kiểm tra lại lại trạm và địa hình</v>
      </c>
      <c r="M182" s="39">
        <f t="shared" si="58"/>
        <v>7</v>
      </c>
      <c r="N182" s="39">
        <f t="shared" si="59"/>
        <v>10</v>
      </c>
      <c r="O182" s="39" t="str">
        <f t="shared" si="60"/>
        <v>Kiểm tra loại nhà</v>
      </c>
      <c r="P182" s="37" t="s">
        <v>328</v>
      </c>
      <c r="R182" s="10"/>
      <c r="T182" s="43" t="str">
        <f>IFERROR(VLOOKUP(U182,#REF!,2,0),"")</f>
        <v/>
      </c>
      <c r="V182" s="43" t="str">
        <f t="shared" ca="1" si="47"/>
        <v/>
      </c>
      <c r="Y182" s="43" t="str">
        <f t="shared" ca="1" si="48"/>
        <v/>
      </c>
      <c r="Z182" s="39" t="str">
        <f>IFERROR(VLOOKUP(AA182,#REF!,2,0),"")</f>
        <v/>
      </c>
      <c r="AB182" s="14"/>
      <c r="AD182" s="43" t="str">
        <f t="shared" ca="1" si="49"/>
        <v>Quá hạn</v>
      </c>
      <c r="AI182" s="43" t="str">
        <f t="shared" ca="1" si="50"/>
        <v/>
      </c>
      <c r="AN182" s="49" t="e">
        <f t="shared" si="51"/>
        <v>#VALUE!</v>
      </c>
      <c r="BA182" s="12" t="str">
        <f t="shared" si="52"/>
        <v>chưa PS</v>
      </c>
      <c r="BD182" s="12">
        <f t="shared" ca="1" si="54"/>
        <v>43150</v>
      </c>
      <c r="BF182" s="12">
        <f t="shared" ca="1" si="55"/>
        <v>43150</v>
      </c>
      <c r="BG182" s="9" t="str">
        <f t="shared" ca="1" si="56"/>
        <v>Trong hạn</v>
      </c>
      <c r="BH182" s="9"/>
      <c r="BI182" s="9"/>
      <c r="BJ182" s="9"/>
      <c r="BK182" s="9"/>
    </row>
    <row r="183" spans="1:63" x14ac:dyDescent="0.25">
      <c r="A183" s="29"/>
      <c r="B183" s="29"/>
      <c r="C183" s="30"/>
      <c r="D183" s="29"/>
      <c r="E183" s="29"/>
      <c r="F183" s="38"/>
      <c r="G183" s="38"/>
      <c r="H183" s="38"/>
      <c r="I183" s="38"/>
      <c r="J183" s="29"/>
      <c r="K183" s="38"/>
      <c r="L183" s="40"/>
      <c r="M183" s="40"/>
      <c r="N183" s="40"/>
      <c r="O183" s="40"/>
      <c r="P183" s="38"/>
      <c r="Q183" s="31"/>
      <c r="R183" s="32"/>
      <c r="S183" s="33"/>
      <c r="T183" s="44"/>
      <c r="U183" s="42"/>
      <c r="V183" s="44"/>
      <c r="W183" s="31"/>
      <c r="X183" s="34"/>
      <c r="Y183" s="44"/>
      <c r="Z183" s="44"/>
      <c r="AA183" s="42"/>
      <c r="AB183" s="33"/>
      <c r="AC183" s="34"/>
      <c r="AD183" s="44"/>
      <c r="AE183" s="44"/>
      <c r="AF183" s="42"/>
      <c r="AG183" s="31"/>
      <c r="AH183" s="31"/>
      <c r="AI183" s="45"/>
      <c r="AJ183" s="45"/>
      <c r="AK183" s="48"/>
      <c r="AL183" s="33"/>
      <c r="AM183" s="33"/>
      <c r="AN183" s="44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29"/>
      <c r="BC183" s="29"/>
      <c r="BD183" s="33"/>
      <c r="BE183" s="33"/>
      <c r="BF183" s="33"/>
      <c r="BG183" s="29"/>
    </row>
  </sheetData>
  <conditionalFormatting sqref="C1:C1048576">
    <cfRule type="duplicateValues" dxfId="0" priority="1"/>
  </conditionalFormatting>
  <dataValidations count="4">
    <dataValidation type="list" allowBlank="1" showInputMessage="1" showErrorMessage="1" sqref="I1:I1048576">
      <formula1>#REF!</formula1>
    </dataValidation>
    <dataValidation type="list" allowBlank="1" showInputMessage="1" showErrorMessage="1" sqref="U1:U1048576 AA85">
      <formula1>#REF!</formula1>
    </dataValidation>
    <dataValidation type="list" allowBlank="1" showInputMessage="1" showErrorMessage="1" sqref="AA86:AA1048576 AA1:AA84">
      <formula1>#REF!</formula1>
    </dataValidation>
    <dataValidation type="list" allowBlank="1" showInputMessage="1" showErrorMessage="1" sqref="K1:K1048576">
      <formula1>#REF!</formula1>
    </dataValidation>
  </dataValidations>
  <pageMargins left="0.7" right="0.7" top="0.75" bottom="0.75" header="0.3" footer="0.3"/>
  <pageSetup orientation="portrait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Tien Le Anh</dc:creator>
  <cp:lastModifiedBy>thien nguyen</cp:lastModifiedBy>
  <cp:lastPrinted>2017-11-28T07:33:36Z</cp:lastPrinted>
  <dcterms:created xsi:type="dcterms:W3CDTF">2017-11-24T01:06:38Z</dcterms:created>
  <dcterms:modified xsi:type="dcterms:W3CDTF">2018-02-19T14:32:43Z</dcterms:modified>
</cp:coreProperties>
</file>